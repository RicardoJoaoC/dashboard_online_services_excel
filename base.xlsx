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37bd77563a24047/Área de Trabalho/Curso Excel DIO/DashBoard/"/>
    </mc:Choice>
  </mc:AlternateContent>
  <xr:revisionPtr revIDLastSave="4" documentId="13_ncr:1_{3C2F8ED6-40B2-4E08-832A-7140AC03FA60}" xr6:coauthVersionLast="47" xr6:coauthVersionMax="47" xr10:uidLastSave="{95C97272-BE97-4C9F-9EB1-2603ED4DE807}"/>
  <bookViews>
    <workbookView xWindow="-120" yWindow="-120" windowWidth="29040" windowHeight="15720" tabRatio="44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3" l="1"/>
  <c r="D22" i="3"/>
</calcChain>
</file>

<file path=xl/sharedStrings.xml><?xml version="1.0" encoding="utf-8"?>
<sst xmlns="http://schemas.openxmlformats.org/spreadsheetml/2006/main" count="2019" uniqueCount="321">
  <si>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</si>
  <si>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</si>
  <si>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</si>
  <si>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</si>
  <si>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</si>
  <si>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</si>
  <si>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</si>
  <si>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</si>
  <si>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</si>
  <si>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</si>
  <si>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</si>
  <si>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</si>
  <si>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</si>
  <si>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</si>
  <si>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</si>
  <si>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</si>
  <si>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</si>
  <si>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</si>
  <si>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</si>
  <si>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</si>
  <si>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</si>
  <si>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</si>
  <si>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</si>
  <si>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</si>
  <si>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</si>
  <si>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</si>
  <si>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</si>
  <si>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</si>
  <si>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</si>
  <si>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</si>
  <si>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</si>
  <si>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</si>
  <si>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</si>
  <si>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</si>
  <si>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</si>
  <si>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</si>
  <si>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</si>
  <si>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</si>
  <si>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</si>
  <si>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</si>
  <si>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</si>
  <si>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</si>
  <si>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</si>
  <si>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</si>
  <si>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</si>
  <si>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</si>
  <si>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</si>
  <si>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</si>
  <si>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</si>
  <si>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</si>
  <si>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</si>
  <si>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</si>
  <si>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</si>
  <si>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</si>
  <si>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</si>
  <si>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</si>
  <si>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</si>
  <si>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</si>
  <si>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</si>
  <si>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</si>
  <si>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</si>
  <si>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</si>
  <si>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</si>
  <si>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</si>
  <si>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</si>
  <si>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</si>
  <si>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</si>
  <si>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</si>
  <si>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</si>
  <si>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</si>
  <si>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</si>
  <si>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</si>
  <si>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</si>
  <si>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</si>
  <si>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</si>
  <si>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</si>
  <si>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</si>
  <si>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</si>
  <si>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</si>
  <si>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</si>
  <si>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</si>
  <si>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</si>
  <si>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</si>
  <si>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</si>
  <si>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</si>
  <si>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</si>
  <si>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</si>
  <si>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</si>
  <si>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</si>
  <si>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</si>
  <si>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</si>
  <si>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</si>
  <si>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</si>
  <si>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</si>
  <si>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</si>
  <si>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</si>
  <si>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</si>
  <si>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</si>
  <si>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</si>
  <si>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</si>
  <si>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</si>
  <si>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</si>
  <si>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</si>
  <si>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</si>
  <si>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</si>
  <si>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</si>
  <si>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</si>
  <si>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</si>
  <si>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</si>
  <si>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</si>
  <si>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</si>
  <si>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</si>
  <si>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</si>
  <si>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</si>
  <si>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</si>
  <si>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</si>
  <si>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</si>
  <si>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</si>
  <si>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</si>
  <si>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</si>
  <si>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</si>
  <si>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</si>
  <si>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</si>
  <si>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</si>
  <si>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</si>
  <si>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</si>
  <si>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</si>
  <si>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</si>
  <si>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</si>
  <si>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</si>
  <si>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</si>
  <si>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</si>
  <si>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</si>
  <si>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</si>
  <si>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</si>
  <si>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</si>
  <si>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</si>
  <si>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</si>
  <si>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</si>
  <si>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</si>
  <si>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</si>
  <si>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</si>
  <si>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</si>
  <si>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</si>
  <si>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</si>
  <si>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</si>
  <si>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</si>
  <si>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</si>
  <si>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</si>
  <si>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</si>
  <si>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</si>
  <si>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</si>
  <si>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</si>
  <si>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</si>
  <si>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</si>
  <si>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</si>
  <si>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</si>
  <si>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</si>
  <si>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</si>
  <si>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</si>
  <si>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</si>
  <si>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</si>
  <si>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</si>
  <si>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</si>
  <si>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</si>
  <si>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</si>
  <si>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</si>
  <si>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</si>
  <si>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</si>
  <si>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</si>
  <si>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</si>
  <si>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</si>
  <si>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</si>
  <si>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</si>
  <si>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</si>
  <si>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</si>
  <si>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</si>
  <si>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</si>
  <si>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</si>
  <si>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</si>
  <si>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</si>
  <si>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</si>
  <si>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</si>
  <si>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</si>
  <si>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</si>
  <si>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</si>
  <si>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</si>
  <si>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</si>
  <si>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</si>
  <si>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</si>
  <si>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</si>
  <si>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</si>
  <si>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</si>
  <si>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</si>
  <si>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</si>
  <si>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</si>
  <si>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</si>
  <si>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</si>
  <si>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</si>
  <si>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</si>
  <si>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</si>
  <si>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</si>
  <si>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</si>
  <si>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</si>
  <si>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</si>
  <si>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</si>
  <si>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</si>
  <si>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</si>
  <si>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</si>
  <si>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</si>
  <si>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</si>
  <si>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</si>
  <si>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</si>
  <si>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</si>
  <si>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</si>
  <si>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</si>
  <si>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</si>
  <si>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</si>
  <si>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</si>
  <si>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</si>
  <si>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</si>
  <si>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</si>
  <si>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</si>
  <si>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</si>
  <si>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</si>
  <si>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</si>
  <si>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</si>
  <si>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</si>
  <si>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</si>
  <si>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</si>
  <si>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</si>
  <si>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</si>
  <si>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</si>
  <si>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</si>
  <si>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</si>
  <si>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</si>
  <si>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</si>
  <si>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</si>
  <si>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</si>
  <si>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</si>
  <si>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</si>
  <si>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</si>
  <si>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</si>
  <si>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</si>
  <si>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</si>
  <si>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</si>
  <si>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</si>
  <si>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</si>
  <si>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</si>
  <si>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</si>
  <si>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</si>
  <si>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</si>
  <si>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</si>
  <si>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</si>
  <si>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</si>
  <si>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</si>
  <si>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</si>
  <si>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</si>
  <si>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</si>
  <si>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</si>
  <si>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</si>
  <si>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</si>
  <si>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</si>
  <si>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</si>
  <si>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</si>
  <si>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</si>
  <si>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</si>
  <si>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</si>
  <si>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</si>
  <si>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</si>
  <si>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</si>
  <si>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</si>
  <si>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</si>
  <si>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</si>
  <si>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</si>
  <si>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</si>
  <si>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</si>
  <si>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</si>
  <si>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</si>
  <si>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</si>
  <si>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</si>
  <si>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</si>
  <si>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</si>
  <si>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</si>
  <si>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</si>
  <si>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</si>
  <si>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</si>
  <si>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</si>
  <si>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</si>
  <si>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</si>
  <si>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</si>
  <si>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</si>
  <si>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</si>
  <si>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</si>
  <si>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</si>
  <si>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</si>
  <si>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</si>
  <si>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</si>
  <si>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</si>
  <si>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</si>
  <si>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</si>
  <si>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</si>
  <si>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</si>
  <si>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</si>
  <si>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</si>
  <si>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</si>
  <si>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</si>
  <si>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</si>
  <si>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</si>
  <si>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</si>
  <si>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</si>
  <si>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</si>
  <si>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</si>
  <si>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</si>
  <si>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</si>
  <si>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</si>
  <si>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Minecraft Season Pass Price</t>
  </si>
  <si>
    <t>Soma de EA Play Season Pass</t>
  </si>
  <si>
    <t>Total de Vendas de Assinaturas do EA Play Season</t>
  </si>
  <si>
    <t>Total de Vendas de Assinaturas do Minecraft Season</t>
  </si>
  <si>
    <t>ON-LINE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</si>
</sst>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4" fillId="0" borderId="2" xfId="1" applyFont="1" applyBorder="1"/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1"/>
      </font>
      <fill>
        <patternFill>
          <fgColor theme="0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D60CB3CF-7A99-4617-82F0-54E20FCE89AE}">
      <tableStyleElement type="wholeTable" dxfId="1"/>
      <tableStyleElement type="headerRow" dxfId="0"/>
    </tableStyle>
  </tableStyles>
  <colors>
    <mruColors>
      <color rgb="FFE8E6E9"/>
      <color rgb="FF2AE6B1"/>
      <color rgb="FF22C55E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26596608841062"/>
          <c:y val="0.19660610665990949"/>
          <c:w val="0.82640340767822207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4-4BCB-BD5E-58F30F4A1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227936"/>
        <c:axId val="527228416"/>
      </c:barChart>
      <c:catAx>
        <c:axId val="527227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7228416"/>
        <c:crosses val="autoZero"/>
        <c:auto val="1"/>
        <c:lblAlgn val="ctr"/>
        <c:lblOffset val="100"/>
        <c:noMultiLvlLbl val="0"/>
      </c:catAx>
      <c:valAx>
        <c:axId val="52722841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2722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</xdr:colOff>
      <xdr:row>17</xdr:row>
      <xdr:rowOff>166687</xdr:rowOff>
    </xdr:from>
    <xdr:to>
      <xdr:col>20</xdr:col>
      <xdr:colOff>190500</xdr:colOff>
      <xdr:row>37</xdr:row>
      <xdr:rowOff>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509E3BC6-BDF0-5825-F45E-6C8E74D2B578}"/>
            </a:ext>
          </a:extLst>
        </xdr:cNvPr>
        <xdr:cNvGrpSpPr/>
      </xdr:nvGrpSpPr>
      <xdr:grpSpPr>
        <a:xfrm>
          <a:off x="2166937" y="3940968"/>
          <a:ext cx="10834688" cy="3643313"/>
          <a:chOff x="2155031" y="3559968"/>
          <a:chExt cx="10834688" cy="3643313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2921645F-FE71-2DE9-5909-7800BE95E85C}"/>
              </a:ext>
            </a:extLst>
          </xdr:cNvPr>
          <xdr:cNvGrpSpPr/>
        </xdr:nvGrpSpPr>
        <xdr:grpSpPr>
          <a:xfrm>
            <a:off x="2155031" y="3583780"/>
            <a:ext cx="10834688" cy="3619501"/>
            <a:chOff x="2226468" y="1214437"/>
            <a:chExt cx="4722812" cy="2928938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BDA9748-D390-9236-9369-AE4A8F3C6726}"/>
                </a:ext>
              </a:extLst>
            </xdr:cNvPr>
            <xdr:cNvSpPr/>
          </xdr:nvSpPr>
          <xdr:spPr>
            <a:xfrm>
              <a:off x="2226468" y="1214437"/>
              <a:ext cx="4722812" cy="2928938"/>
            </a:xfrm>
            <a:prstGeom prst="roundRect">
              <a:avLst>
                <a:gd name="adj" fmla="val 853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9EE5D98-C6D6-4631-9FA2-538E4D46CB0F}"/>
                </a:ext>
              </a:extLst>
            </xdr:cNvPr>
            <xdr:cNvGraphicFramePr>
              <a:graphicFrameLocks/>
            </xdr:cNvGraphicFramePr>
          </xdr:nvGraphicFramePr>
          <xdr:xfrm>
            <a:off x="2299127" y="1285875"/>
            <a:ext cx="4582685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5D56915F-958C-40FB-99C3-B766D04CDF5B}"/>
              </a:ext>
            </a:extLst>
          </xdr:cNvPr>
          <xdr:cNvSpPr/>
        </xdr:nvSpPr>
        <xdr:spPr>
          <a:xfrm>
            <a:off x="2155031" y="3559968"/>
            <a:ext cx="10834687" cy="404812"/>
          </a:xfrm>
          <a:prstGeom prst="round2SameRect">
            <a:avLst/>
          </a:prstGeom>
          <a:solidFill>
            <a:srgbClr val="2AE6B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226219</xdr:colOff>
      <xdr:row>19</xdr:row>
      <xdr:rowOff>35719</xdr:rowOff>
    </xdr:from>
    <xdr:to>
      <xdr:col>3</xdr:col>
      <xdr:colOff>202406</xdr:colOff>
      <xdr:row>24</xdr:row>
      <xdr:rowOff>105442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2E1F56-86F5-45EB-9C25-6759F9E108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r="72360"/>
        <a:stretch>
          <a:fillRect/>
        </a:stretch>
      </xdr:blipFill>
      <xdr:spPr>
        <a:xfrm>
          <a:off x="2274094" y="4191000"/>
          <a:ext cx="583406" cy="1022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478632</xdr:rowOff>
    </xdr:from>
    <xdr:to>
      <xdr:col>0</xdr:col>
      <xdr:colOff>1797844</xdr:colOff>
      <xdr:row>17</xdr:row>
      <xdr:rowOff>61914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56DB8E4-E7F2-4868-AD55-DD4999873E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69195"/>
              <a:ext cx="1797844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119062</xdr:colOff>
      <xdr:row>6</xdr:row>
      <xdr:rowOff>94059</xdr:rowOff>
    </xdr:from>
    <xdr:to>
      <xdr:col>10</xdr:col>
      <xdr:colOff>381000</xdr:colOff>
      <xdr:row>15</xdr:row>
      <xdr:rowOff>141684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662E570F-B9FA-B5D5-A75C-A4E33F378075}"/>
            </a:ext>
          </a:extLst>
        </xdr:cNvPr>
        <xdr:cNvGrpSpPr/>
      </xdr:nvGrpSpPr>
      <xdr:grpSpPr>
        <a:xfrm>
          <a:off x="2166937" y="1618059"/>
          <a:ext cx="5119688" cy="1916906"/>
          <a:chOff x="2155031" y="1226344"/>
          <a:chExt cx="5119688" cy="1916906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8FAB15B4-89E5-4388-8287-2AB7FCEFA699}"/>
              </a:ext>
            </a:extLst>
          </xdr:cNvPr>
          <xdr:cNvSpPr/>
        </xdr:nvSpPr>
        <xdr:spPr>
          <a:xfrm>
            <a:off x="2166937" y="1262062"/>
            <a:ext cx="5095875" cy="1881188"/>
          </a:xfrm>
          <a:prstGeom prst="roundRect">
            <a:avLst>
              <a:gd name="adj" fmla="val 1097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2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569CDC15-2301-4EF1-98DF-968085864011}"/>
              </a:ext>
            </a:extLst>
          </xdr:cNvPr>
          <xdr:cNvSpPr/>
        </xdr:nvSpPr>
        <xdr:spPr>
          <a:xfrm>
            <a:off x="3274219" y="1428749"/>
            <a:ext cx="3548062" cy="1654969"/>
          </a:xfrm>
          <a:prstGeom prst="roundRect">
            <a:avLst>
              <a:gd name="adj" fmla="val 1073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422C197-115B-4B31-A2DE-DFE60C4F2FB9}" type="TxLink">
              <a:rPr lang="en-US" sz="48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en-US" sz="48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BCB5B762-C4A4-4108-B6AC-6A5D6FAE7C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66937" y="1646633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13FCA342-6582-00E1-4E07-201B048BB1C6}"/>
              </a:ext>
            </a:extLst>
          </xdr:cNvPr>
          <xdr:cNvSpPr/>
        </xdr:nvSpPr>
        <xdr:spPr>
          <a:xfrm>
            <a:off x="2155031" y="1226344"/>
            <a:ext cx="5119688" cy="404812"/>
          </a:xfrm>
          <a:prstGeom prst="round2SameRect">
            <a:avLst/>
          </a:prstGeom>
          <a:solidFill>
            <a:srgbClr val="2AE6B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11</xdr:col>
      <xdr:colOff>295274</xdr:colOff>
      <xdr:row>6</xdr:row>
      <xdr:rowOff>94059</xdr:rowOff>
    </xdr:from>
    <xdr:to>
      <xdr:col>20</xdr:col>
      <xdr:colOff>116681</xdr:colOff>
      <xdr:row>15</xdr:row>
      <xdr:rowOff>141684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FB96F4D1-EE7D-497B-98E0-7E3D286A46A9}"/>
            </a:ext>
          </a:extLst>
        </xdr:cNvPr>
        <xdr:cNvGrpSpPr/>
      </xdr:nvGrpSpPr>
      <xdr:grpSpPr>
        <a:xfrm>
          <a:off x="7808118" y="1618059"/>
          <a:ext cx="5119688" cy="1916906"/>
          <a:chOff x="2155031" y="1226344"/>
          <a:chExt cx="5119688" cy="1916906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8BDCDC71-9738-C95E-0122-8B1B907BE450}"/>
              </a:ext>
            </a:extLst>
          </xdr:cNvPr>
          <xdr:cNvSpPr/>
        </xdr:nvSpPr>
        <xdr:spPr>
          <a:xfrm>
            <a:off x="2166937" y="1262062"/>
            <a:ext cx="5095875" cy="1881188"/>
          </a:xfrm>
          <a:prstGeom prst="roundRect">
            <a:avLst>
              <a:gd name="adj" fmla="val 1097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3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40CECC87-9F6B-461D-7426-18C0153ED173}"/>
              </a:ext>
            </a:extLst>
          </xdr:cNvPr>
          <xdr:cNvSpPr/>
        </xdr:nvSpPr>
        <xdr:spPr>
          <a:xfrm>
            <a:off x="3274219" y="1428749"/>
            <a:ext cx="3548062" cy="1654969"/>
          </a:xfrm>
          <a:prstGeom prst="roundRect">
            <a:avLst>
              <a:gd name="adj" fmla="val 1073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1F3C3B5-622C-483D-80AC-81C812F30AB3}" type="TxLink">
              <a:rPr lang="en-US" sz="48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R$ 1.140,00</a:t>
            </a:fld>
            <a:endParaRPr lang="en-US" sz="239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BB7BA5C4-F588-02FD-343C-0729E2E3D5C7}"/>
              </a:ext>
            </a:extLst>
          </xdr:cNvPr>
          <xdr:cNvSpPr/>
        </xdr:nvSpPr>
        <xdr:spPr>
          <a:xfrm>
            <a:off x="2155031" y="1226344"/>
            <a:ext cx="5119688" cy="404812"/>
          </a:xfrm>
          <a:prstGeom prst="round2SameRect">
            <a:avLst/>
          </a:prstGeom>
          <a:solidFill>
            <a:srgbClr val="2AE6B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11</xdr:col>
      <xdr:colOff>416719</xdr:colOff>
      <xdr:row>8</xdr:row>
      <xdr:rowOff>178594</xdr:rowOff>
    </xdr:from>
    <xdr:to>
      <xdr:col>13</xdr:col>
      <xdr:colOff>404812</xdr:colOff>
      <xdr:row>12</xdr:row>
      <xdr:rowOff>119063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77AAD2BC-95B8-4C4F-820F-D28511BFE1A8}"/>
            </a:ext>
          </a:extLst>
        </xdr:cNvPr>
        <xdr:cNvGrpSpPr/>
      </xdr:nvGrpSpPr>
      <xdr:grpSpPr>
        <a:xfrm>
          <a:off x="7929563" y="2238375"/>
          <a:ext cx="1035843" cy="702469"/>
          <a:chOff x="3495675" y="5400674"/>
          <a:chExt cx="1549476" cy="752476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E3931C5D-2C55-1515-75A7-82BE26A771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0" name="Gráfico 19">
            <a:extLst>
              <a:ext uri="{FF2B5EF4-FFF2-40B4-BE49-F238E27FC236}">
                <a16:creationId xmlns:a16="http://schemas.microsoft.com/office/drawing/2014/main" id="{195EAB70-E03E-BB19-6F38-792CF7710E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551260</xdr:colOff>
      <xdr:row>0</xdr:row>
      <xdr:rowOff>83343</xdr:rowOff>
    </xdr:from>
    <xdr:to>
      <xdr:col>0</xdr:col>
      <xdr:colOff>1246585</xdr:colOff>
      <xdr:row>2</xdr:row>
      <xdr:rowOff>88105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73C68E07-7336-4B19-A16D-90BF0660E789}"/>
            </a:ext>
          </a:extLst>
        </xdr:cNvPr>
        <xdr:cNvSpPr/>
      </xdr:nvSpPr>
      <xdr:spPr>
        <a:xfrm>
          <a:off x="551260" y="83343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107157</xdr:colOff>
      <xdr:row>2</xdr:row>
      <xdr:rowOff>202404</xdr:rowOff>
    </xdr:from>
    <xdr:to>
      <xdr:col>0</xdr:col>
      <xdr:colOff>1690688</xdr:colOff>
      <xdr:row>2</xdr:row>
      <xdr:rowOff>416717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87713304-12C7-E73D-59E2-7E8450F6B76B}"/>
            </a:ext>
          </a:extLst>
        </xdr:cNvPr>
        <xdr:cNvSpPr/>
      </xdr:nvSpPr>
      <xdr:spPr>
        <a:xfrm>
          <a:off x="107157" y="892967"/>
          <a:ext cx="1583531" cy="214313"/>
        </a:xfrm>
        <a:prstGeom prst="round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Bem</a:t>
          </a:r>
          <a:r>
            <a:rPr lang="pt-BR" sz="1200" b="1" baseline="0">
              <a:solidFill>
                <a:schemeClr val="bg1"/>
              </a:solidFill>
            </a:rPr>
            <a:t> vinda, Briana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45242</xdr:colOff>
      <xdr:row>3</xdr:row>
      <xdr:rowOff>9524</xdr:rowOff>
    </xdr:from>
    <xdr:to>
      <xdr:col>10</xdr:col>
      <xdr:colOff>238123</xdr:colOff>
      <xdr:row>5</xdr:row>
      <xdr:rowOff>59532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F9A40051-2DC6-4319-B6BB-2B94AB735DF6}"/>
            </a:ext>
          </a:extLst>
        </xdr:cNvPr>
        <xdr:cNvSpPr/>
      </xdr:nvSpPr>
      <xdr:spPr>
        <a:xfrm>
          <a:off x="2093117" y="1200149"/>
          <a:ext cx="5050631" cy="252414"/>
        </a:xfrm>
        <a:prstGeom prst="roundRect">
          <a:avLst/>
        </a:prstGeom>
        <a:solidFill>
          <a:srgbClr val="E8E6E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1">
              <a:solidFill>
                <a:schemeClr val="tx1">
                  <a:lumMod val="50000"/>
                  <a:lumOff val="50000"/>
                </a:schemeClr>
              </a:solidFill>
            </a:rPr>
            <a:t>Calculation</a:t>
          </a:r>
          <a:r>
            <a:rPr lang="pt-BR" sz="1200" b="1" baseline="0">
              <a:solidFill>
                <a:schemeClr val="tx1">
                  <a:lumMod val="50000"/>
                  <a:lumOff val="50000"/>
                </a:schemeClr>
              </a:solidFill>
            </a:rPr>
            <a:t> pediod: 01/01/2024 - 31/12/2024 | Update date:  14/02/2025</a:t>
          </a:r>
          <a:endParaRPr lang="pt-BR" sz="11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Candiotto" refreshedDate="46067.617484606482" createdVersion="8" refreshedVersion="8" minRefreshableVersion="3" recordCount="295" xr:uid="{06875A2C-95FC-4DA2-9A60-9F1E983D762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411924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s v="Yes"/>
    <n v="30"/>
    <s v="Yes"/>
    <n v="20"/>
    <n v="5"/>
    <n v="60"/>
  </r>
  <r>
    <n v="3232"/>
    <x v="1"/>
    <x v="1"/>
    <x v="1"/>
    <x v="1"/>
    <n v="5"/>
    <x v="1"/>
    <s v="No"/>
    <s v="-"/>
    <s v="No"/>
    <n v="0"/>
    <n v="0"/>
    <n v="5"/>
  </r>
  <r>
    <n v="3233"/>
    <x v="2"/>
    <x v="2"/>
    <x v="2"/>
    <x v="0"/>
    <n v="10"/>
    <x v="2"/>
    <s v="No"/>
    <s v="-"/>
    <s v="Yes"/>
    <n v="20"/>
    <n v="10"/>
    <n v="20"/>
  </r>
  <r>
    <n v="3234"/>
    <x v="3"/>
    <x v="0"/>
    <x v="3"/>
    <x v="1"/>
    <n v="15"/>
    <x v="0"/>
    <s v="Yes"/>
    <n v="30"/>
    <s v="Yes"/>
    <n v="20"/>
    <n v="3"/>
    <n v="62"/>
  </r>
  <r>
    <n v="3235"/>
    <x v="4"/>
    <x v="1"/>
    <x v="4"/>
    <x v="0"/>
    <n v="5"/>
    <x v="0"/>
    <s v="No"/>
    <s v="-"/>
    <s v="No"/>
    <n v="0"/>
    <n v="1"/>
    <n v="4"/>
  </r>
  <r>
    <n v="3236"/>
    <x v="5"/>
    <x v="2"/>
    <x v="5"/>
    <x v="1"/>
    <n v="10"/>
    <x v="0"/>
    <s v="No"/>
    <s v="-"/>
    <s v="Yes"/>
    <n v="20"/>
    <n v="2"/>
    <n v="28"/>
  </r>
  <r>
    <n v="3237"/>
    <x v="6"/>
    <x v="0"/>
    <x v="6"/>
    <x v="0"/>
    <n v="15"/>
    <x v="2"/>
    <s v="Yes"/>
    <n v="30"/>
    <s v="Yes"/>
    <n v="20"/>
    <n v="10"/>
    <n v="55"/>
  </r>
  <r>
    <n v="3238"/>
    <x v="7"/>
    <x v="1"/>
    <x v="7"/>
    <x v="0"/>
    <n v="5"/>
    <x v="1"/>
    <s v="No"/>
    <s v="-"/>
    <s v="No"/>
    <n v="0"/>
    <n v="0"/>
    <n v="5"/>
  </r>
  <r>
    <n v="3239"/>
    <x v="8"/>
    <x v="0"/>
    <x v="4"/>
    <x v="1"/>
    <n v="15"/>
    <x v="0"/>
    <s v="Yes"/>
    <n v="30"/>
    <s v="Yes"/>
    <n v="20"/>
    <n v="5"/>
    <n v="60"/>
  </r>
  <r>
    <n v="3240"/>
    <x v="9"/>
    <x v="2"/>
    <x v="8"/>
    <x v="0"/>
    <n v="10"/>
    <x v="2"/>
    <s v="No"/>
    <s v="-"/>
    <s v="Yes"/>
    <n v="20"/>
    <n v="15"/>
    <n v="15"/>
  </r>
  <r>
    <n v="3241"/>
    <x v="10"/>
    <x v="1"/>
    <x v="9"/>
    <x v="1"/>
    <n v="5"/>
    <x v="0"/>
    <s v="No"/>
    <s v="-"/>
    <s v="No"/>
    <n v="0"/>
    <n v="1"/>
    <n v="4"/>
  </r>
  <r>
    <n v="3242"/>
    <x v="11"/>
    <x v="0"/>
    <x v="10"/>
    <x v="0"/>
    <n v="15"/>
    <x v="1"/>
    <s v="Yes"/>
    <n v="30"/>
    <s v="Yes"/>
    <n v="20"/>
    <n v="20"/>
    <n v="45"/>
  </r>
  <r>
    <n v="3243"/>
    <x v="12"/>
    <x v="2"/>
    <x v="11"/>
    <x v="1"/>
    <n v="10"/>
    <x v="0"/>
    <s v="No"/>
    <s v="-"/>
    <s v="Yes"/>
    <n v="20"/>
    <n v="10"/>
    <n v="20"/>
  </r>
  <r>
    <n v="3244"/>
    <x v="13"/>
    <x v="1"/>
    <x v="12"/>
    <x v="0"/>
    <n v="5"/>
    <x v="2"/>
    <s v="No"/>
    <s v="-"/>
    <s v="No"/>
    <n v="0"/>
    <n v="0"/>
    <n v="5"/>
  </r>
  <r>
    <n v="3245"/>
    <x v="14"/>
    <x v="0"/>
    <x v="13"/>
    <x v="1"/>
    <n v="15"/>
    <x v="0"/>
    <s v="Yes"/>
    <n v="30"/>
    <s v="Yes"/>
    <n v="20"/>
    <n v="8"/>
    <n v="57"/>
  </r>
  <r>
    <n v="3246"/>
    <x v="15"/>
    <x v="2"/>
    <x v="14"/>
    <x v="0"/>
    <n v="10"/>
    <x v="1"/>
    <s v="No"/>
    <s v="-"/>
    <s v="Yes"/>
    <n v="20"/>
    <n v="12"/>
    <n v="18"/>
  </r>
  <r>
    <n v="3247"/>
    <x v="16"/>
    <x v="1"/>
    <x v="15"/>
    <x v="1"/>
    <n v="5"/>
    <x v="0"/>
    <s v="No"/>
    <s v="-"/>
    <s v="No"/>
    <n v="0"/>
    <n v="2"/>
    <n v="3"/>
  </r>
  <r>
    <n v="3248"/>
    <x v="17"/>
    <x v="0"/>
    <x v="16"/>
    <x v="0"/>
    <n v="15"/>
    <x v="2"/>
    <s v="Yes"/>
    <n v="30"/>
    <s v="Yes"/>
    <n v="20"/>
    <n v="7"/>
    <n v="58"/>
  </r>
  <r>
    <n v="3249"/>
    <x v="18"/>
    <x v="2"/>
    <x v="17"/>
    <x v="1"/>
    <n v="10"/>
    <x v="0"/>
    <s v="No"/>
    <s v="-"/>
    <s v="Yes"/>
    <n v="20"/>
    <n v="5"/>
    <n v="25"/>
  </r>
  <r>
    <n v="3250"/>
    <x v="19"/>
    <x v="1"/>
    <x v="18"/>
    <x v="0"/>
    <n v="5"/>
    <x v="1"/>
    <s v="No"/>
    <s v="-"/>
    <s v="No"/>
    <n v="0"/>
    <n v="0"/>
    <n v="5"/>
  </r>
  <r>
    <n v="3251"/>
    <x v="20"/>
    <x v="0"/>
    <x v="19"/>
    <x v="1"/>
    <n v="15"/>
    <x v="0"/>
    <s v="Yes"/>
    <n v="30"/>
    <s v="Yes"/>
    <n v="20"/>
    <n v="3"/>
    <n v="62"/>
  </r>
  <r>
    <n v="3252"/>
    <x v="21"/>
    <x v="2"/>
    <x v="20"/>
    <x v="0"/>
    <n v="10"/>
    <x v="2"/>
    <s v="No"/>
    <s v="-"/>
    <s v="Yes"/>
    <n v="20"/>
    <n v="15"/>
    <n v="15"/>
  </r>
  <r>
    <n v="3253"/>
    <x v="22"/>
    <x v="1"/>
    <x v="21"/>
    <x v="1"/>
    <n v="5"/>
    <x v="0"/>
    <s v="No"/>
    <s v="-"/>
    <s v="No"/>
    <n v="0"/>
    <n v="1"/>
    <n v="4"/>
  </r>
  <r>
    <n v="3254"/>
    <x v="23"/>
    <x v="0"/>
    <x v="22"/>
    <x v="0"/>
    <n v="15"/>
    <x v="1"/>
    <s v="Yes"/>
    <n v="30"/>
    <s v="Yes"/>
    <n v="20"/>
    <n v="20"/>
    <n v="45"/>
  </r>
  <r>
    <n v="3255"/>
    <x v="24"/>
    <x v="2"/>
    <x v="23"/>
    <x v="1"/>
    <n v="10"/>
    <x v="0"/>
    <s v="No"/>
    <s v="-"/>
    <s v="Yes"/>
    <n v="20"/>
    <n v="10"/>
    <n v="20"/>
  </r>
  <r>
    <n v="3256"/>
    <x v="25"/>
    <x v="1"/>
    <x v="24"/>
    <x v="0"/>
    <n v="5"/>
    <x v="2"/>
    <s v="No"/>
    <s v="-"/>
    <s v="No"/>
    <n v="0"/>
    <n v="0"/>
    <n v="5"/>
  </r>
  <r>
    <n v="3257"/>
    <x v="26"/>
    <x v="0"/>
    <x v="25"/>
    <x v="1"/>
    <n v="15"/>
    <x v="0"/>
    <s v="Yes"/>
    <n v="30"/>
    <s v="Yes"/>
    <n v="20"/>
    <n v="5"/>
    <n v="60"/>
  </r>
  <r>
    <n v="3258"/>
    <x v="27"/>
    <x v="2"/>
    <x v="26"/>
    <x v="0"/>
    <n v="10"/>
    <x v="1"/>
    <s v="No"/>
    <s v="-"/>
    <s v="Yes"/>
    <n v="20"/>
    <n v="15"/>
    <n v="15"/>
  </r>
  <r>
    <n v="3259"/>
    <x v="28"/>
    <x v="1"/>
    <x v="27"/>
    <x v="1"/>
    <n v="5"/>
    <x v="0"/>
    <s v="No"/>
    <s v="-"/>
    <s v="No"/>
    <n v="0"/>
    <n v="1"/>
    <n v="4"/>
  </r>
  <r>
    <n v="3260"/>
    <x v="29"/>
    <x v="0"/>
    <x v="28"/>
    <x v="0"/>
    <n v="15"/>
    <x v="2"/>
    <s v="Yes"/>
    <n v="30"/>
    <s v="Yes"/>
    <n v="20"/>
    <n v="7"/>
    <n v="58"/>
  </r>
  <r>
    <n v="3261"/>
    <x v="30"/>
    <x v="2"/>
    <x v="29"/>
    <x v="1"/>
    <n v="10"/>
    <x v="0"/>
    <s v="No"/>
    <s v="-"/>
    <s v="Yes"/>
    <n v="20"/>
    <n v="10"/>
    <n v="20"/>
  </r>
  <r>
    <n v="3262"/>
    <x v="31"/>
    <x v="1"/>
    <x v="30"/>
    <x v="0"/>
    <n v="5"/>
    <x v="1"/>
    <s v="No"/>
    <s v="-"/>
    <s v="No"/>
    <n v="0"/>
    <n v="0"/>
    <n v="5"/>
  </r>
  <r>
    <n v="3263"/>
    <x v="32"/>
    <x v="0"/>
    <x v="31"/>
    <x v="1"/>
    <n v="15"/>
    <x v="0"/>
    <s v="Yes"/>
    <n v="30"/>
    <s v="Yes"/>
    <n v="20"/>
    <n v="3"/>
    <n v="62"/>
  </r>
  <r>
    <n v="3264"/>
    <x v="33"/>
    <x v="2"/>
    <x v="32"/>
    <x v="0"/>
    <n v="10"/>
    <x v="2"/>
    <s v="No"/>
    <s v="-"/>
    <s v="Yes"/>
    <n v="20"/>
    <n v="15"/>
    <n v="15"/>
  </r>
  <r>
    <n v="3265"/>
    <x v="34"/>
    <x v="1"/>
    <x v="33"/>
    <x v="1"/>
    <n v="5"/>
    <x v="0"/>
    <s v="No"/>
    <s v="-"/>
    <s v="No"/>
    <n v="0"/>
    <n v="1"/>
    <n v="4"/>
  </r>
  <r>
    <n v="3266"/>
    <x v="35"/>
    <x v="1"/>
    <x v="34"/>
    <x v="0"/>
    <n v="5"/>
    <x v="0"/>
    <s v="No"/>
    <s v="-"/>
    <s v="No"/>
    <n v="0"/>
    <n v="0"/>
    <n v="5"/>
  </r>
  <r>
    <n v="3267"/>
    <x v="36"/>
    <x v="0"/>
    <x v="35"/>
    <x v="1"/>
    <n v="15"/>
    <x v="2"/>
    <s v="Yes"/>
    <n v="30"/>
    <s v="Yes"/>
    <n v="20"/>
    <n v="7"/>
    <n v="58"/>
  </r>
  <r>
    <n v="3268"/>
    <x v="37"/>
    <x v="2"/>
    <x v="36"/>
    <x v="0"/>
    <n v="10"/>
    <x v="1"/>
    <s v="No"/>
    <s v="-"/>
    <s v="Yes"/>
    <n v="20"/>
    <n v="10"/>
    <n v="20"/>
  </r>
  <r>
    <n v="3269"/>
    <x v="38"/>
    <x v="1"/>
    <x v="37"/>
    <x v="1"/>
    <n v="5"/>
    <x v="2"/>
    <s v="No"/>
    <s v="-"/>
    <s v="No"/>
    <n v="0"/>
    <n v="1"/>
    <n v="4"/>
  </r>
  <r>
    <n v="3270"/>
    <x v="39"/>
    <x v="0"/>
    <x v="38"/>
    <x v="0"/>
    <n v="15"/>
    <x v="0"/>
    <s v="Yes"/>
    <n v="30"/>
    <s v="Yes"/>
    <n v="20"/>
    <n v="15"/>
    <n v="50"/>
  </r>
  <r>
    <n v="3271"/>
    <x v="40"/>
    <x v="2"/>
    <x v="39"/>
    <x v="1"/>
    <n v="10"/>
    <x v="0"/>
    <s v="No"/>
    <s v="-"/>
    <s v="Yes"/>
    <n v="20"/>
    <n v="5"/>
    <n v="25"/>
  </r>
  <r>
    <n v="3272"/>
    <x v="41"/>
    <x v="1"/>
    <x v="40"/>
    <x v="0"/>
    <n v="5"/>
    <x v="1"/>
    <s v="No"/>
    <s v="-"/>
    <s v="No"/>
    <n v="0"/>
    <n v="0"/>
    <n v="5"/>
  </r>
  <r>
    <n v="3273"/>
    <x v="42"/>
    <x v="0"/>
    <x v="41"/>
    <x v="1"/>
    <n v="15"/>
    <x v="2"/>
    <s v="Yes"/>
    <n v="30"/>
    <s v="Yes"/>
    <n v="20"/>
    <n v="20"/>
    <n v="45"/>
  </r>
  <r>
    <n v="3274"/>
    <x v="43"/>
    <x v="2"/>
    <x v="42"/>
    <x v="0"/>
    <n v="10"/>
    <x v="2"/>
    <s v="No"/>
    <s v="-"/>
    <s v="Yes"/>
    <n v="20"/>
    <n v="12"/>
    <n v="18"/>
  </r>
  <r>
    <n v="3275"/>
    <x v="44"/>
    <x v="1"/>
    <x v="43"/>
    <x v="1"/>
    <n v="5"/>
    <x v="0"/>
    <s v="No"/>
    <s v="-"/>
    <s v="No"/>
    <n v="0"/>
    <n v="2"/>
    <n v="3"/>
  </r>
  <r>
    <n v="3276"/>
    <x v="45"/>
    <x v="0"/>
    <x v="44"/>
    <x v="0"/>
    <n v="15"/>
    <x v="1"/>
    <s v="Yes"/>
    <n v="30"/>
    <s v="Yes"/>
    <n v="20"/>
    <n v="5"/>
    <n v="60"/>
  </r>
  <r>
    <n v="3277"/>
    <x v="46"/>
    <x v="2"/>
    <x v="45"/>
    <x v="1"/>
    <n v="10"/>
    <x v="0"/>
    <s v="No"/>
    <s v="-"/>
    <s v="Yes"/>
    <n v="20"/>
    <n v="10"/>
    <n v="20"/>
  </r>
  <r>
    <n v="3278"/>
    <x v="47"/>
    <x v="1"/>
    <x v="46"/>
    <x v="0"/>
    <n v="5"/>
    <x v="2"/>
    <s v="No"/>
    <s v="-"/>
    <s v="No"/>
    <n v="0"/>
    <n v="0"/>
    <n v="5"/>
  </r>
  <r>
    <n v="3279"/>
    <x v="48"/>
    <x v="0"/>
    <x v="47"/>
    <x v="1"/>
    <n v="15"/>
    <x v="0"/>
    <s v="Yes"/>
    <n v="30"/>
    <s v="Yes"/>
    <n v="20"/>
    <n v="3"/>
    <n v="62"/>
  </r>
  <r>
    <n v="3280"/>
    <x v="49"/>
    <x v="2"/>
    <x v="48"/>
    <x v="0"/>
    <n v="10"/>
    <x v="1"/>
    <s v="No"/>
    <s v="-"/>
    <s v="Yes"/>
    <n v="20"/>
    <n v="15"/>
    <n v="15"/>
  </r>
  <r>
    <n v="3281"/>
    <x v="50"/>
    <x v="1"/>
    <x v="49"/>
    <x v="1"/>
    <n v="5"/>
    <x v="0"/>
    <s v="No"/>
    <s v="-"/>
    <s v="No"/>
    <n v="0"/>
    <n v="1"/>
    <n v="4"/>
  </r>
  <r>
    <n v="3282"/>
    <x v="51"/>
    <x v="0"/>
    <x v="50"/>
    <x v="0"/>
    <n v="15"/>
    <x v="2"/>
    <s v="Yes"/>
    <n v="30"/>
    <s v="Yes"/>
    <n v="20"/>
    <n v="7"/>
    <n v="58"/>
  </r>
  <r>
    <n v="3283"/>
    <x v="52"/>
    <x v="2"/>
    <x v="51"/>
    <x v="1"/>
    <n v="10"/>
    <x v="0"/>
    <s v="No"/>
    <s v="-"/>
    <s v="Yes"/>
    <n v="20"/>
    <n v="10"/>
    <n v="20"/>
  </r>
  <r>
    <n v="3284"/>
    <x v="53"/>
    <x v="1"/>
    <x v="52"/>
    <x v="0"/>
    <n v="5"/>
    <x v="1"/>
    <s v="No"/>
    <s v="-"/>
    <s v="No"/>
    <n v="0"/>
    <n v="0"/>
    <n v="5"/>
  </r>
  <r>
    <n v="3285"/>
    <x v="54"/>
    <x v="0"/>
    <x v="53"/>
    <x v="1"/>
    <n v="15"/>
    <x v="0"/>
    <s v="Yes"/>
    <n v="30"/>
    <s v="Yes"/>
    <n v="20"/>
    <n v="20"/>
    <n v="45"/>
  </r>
  <r>
    <n v="3286"/>
    <x v="55"/>
    <x v="2"/>
    <x v="54"/>
    <x v="0"/>
    <n v="10"/>
    <x v="2"/>
    <s v="No"/>
    <s v="-"/>
    <s v="Yes"/>
    <n v="20"/>
    <n v="15"/>
    <n v="15"/>
  </r>
  <r>
    <n v="3287"/>
    <x v="56"/>
    <x v="1"/>
    <x v="55"/>
    <x v="1"/>
    <n v="5"/>
    <x v="0"/>
    <s v="No"/>
    <s v="-"/>
    <s v="No"/>
    <n v="0"/>
    <n v="1"/>
    <n v="4"/>
  </r>
  <r>
    <n v="3288"/>
    <x v="57"/>
    <x v="0"/>
    <x v="56"/>
    <x v="0"/>
    <n v="15"/>
    <x v="1"/>
    <s v="Yes"/>
    <n v="30"/>
    <s v="Yes"/>
    <n v="20"/>
    <n v="3"/>
    <n v="62"/>
  </r>
  <r>
    <n v="3289"/>
    <x v="58"/>
    <x v="2"/>
    <x v="57"/>
    <x v="1"/>
    <n v="10"/>
    <x v="0"/>
    <s v="No"/>
    <s v="-"/>
    <s v="Yes"/>
    <n v="20"/>
    <n v="10"/>
    <n v="20"/>
  </r>
  <r>
    <n v="3290"/>
    <x v="59"/>
    <x v="1"/>
    <x v="58"/>
    <x v="0"/>
    <n v="5"/>
    <x v="2"/>
    <s v="No"/>
    <s v="-"/>
    <s v="No"/>
    <n v="0"/>
    <n v="0"/>
    <n v="5"/>
  </r>
  <r>
    <n v="3291"/>
    <x v="60"/>
    <x v="0"/>
    <x v="59"/>
    <x v="1"/>
    <n v="15"/>
    <x v="0"/>
    <s v="Yes"/>
    <n v="30"/>
    <s v="Yes"/>
    <n v="20"/>
    <n v="5"/>
    <n v="60"/>
  </r>
  <r>
    <n v="3292"/>
    <x v="61"/>
    <x v="2"/>
    <x v="60"/>
    <x v="0"/>
    <n v="10"/>
    <x v="1"/>
    <s v="No"/>
    <s v="-"/>
    <s v="Yes"/>
    <n v="20"/>
    <n v="15"/>
    <n v="15"/>
  </r>
  <r>
    <n v="3293"/>
    <x v="62"/>
    <x v="1"/>
    <x v="61"/>
    <x v="1"/>
    <n v="5"/>
    <x v="0"/>
    <s v="No"/>
    <s v="-"/>
    <s v="No"/>
    <n v="0"/>
    <n v="1"/>
    <n v="4"/>
  </r>
  <r>
    <n v="3294"/>
    <x v="63"/>
    <x v="0"/>
    <x v="62"/>
    <x v="0"/>
    <n v="15"/>
    <x v="2"/>
    <s v="Yes"/>
    <n v="30"/>
    <s v="Yes"/>
    <n v="20"/>
    <n v="20"/>
    <n v="45"/>
  </r>
  <r>
    <n v="3295"/>
    <x v="64"/>
    <x v="2"/>
    <x v="63"/>
    <x v="1"/>
    <n v="10"/>
    <x v="0"/>
    <s v="No"/>
    <s v="-"/>
    <s v="Yes"/>
    <n v="20"/>
    <n v="5"/>
    <n v="25"/>
  </r>
  <r>
    <n v="3296"/>
    <x v="65"/>
    <x v="1"/>
    <x v="64"/>
    <x v="1"/>
    <n v="5"/>
    <x v="0"/>
    <s v="No"/>
    <s v="-"/>
    <s v="No"/>
    <n v="0"/>
    <n v="0"/>
    <n v="5"/>
  </r>
  <r>
    <n v="3297"/>
    <x v="66"/>
    <x v="0"/>
    <x v="65"/>
    <x v="0"/>
    <n v="15"/>
    <x v="2"/>
    <s v="Yes"/>
    <n v="30"/>
    <s v="Yes"/>
    <n v="20"/>
    <n v="7"/>
    <n v="58"/>
  </r>
  <r>
    <n v="3298"/>
    <x v="67"/>
    <x v="2"/>
    <x v="66"/>
    <x v="1"/>
    <n v="10"/>
    <x v="1"/>
    <s v="No"/>
    <s v="-"/>
    <s v="Yes"/>
    <n v="20"/>
    <n v="10"/>
    <n v="20"/>
  </r>
  <r>
    <n v="3299"/>
    <x v="68"/>
    <x v="1"/>
    <x v="67"/>
    <x v="0"/>
    <n v="5"/>
    <x v="2"/>
    <s v="No"/>
    <s v="-"/>
    <s v="No"/>
    <n v="0"/>
    <n v="1"/>
    <n v="4"/>
  </r>
  <r>
    <n v="3300"/>
    <x v="69"/>
    <x v="0"/>
    <x v="68"/>
    <x v="1"/>
    <n v="15"/>
    <x v="0"/>
    <s v="Yes"/>
    <n v="30"/>
    <s v="Yes"/>
    <n v="20"/>
    <n v="15"/>
    <n v="50"/>
  </r>
  <r>
    <n v="3301"/>
    <x v="70"/>
    <x v="2"/>
    <x v="69"/>
    <x v="0"/>
    <n v="10"/>
    <x v="0"/>
    <s v="No"/>
    <s v="-"/>
    <s v="Yes"/>
    <n v="20"/>
    <n v="5"/>
    <n v="25"/>
  </r>
  <r>
    <n v="3302"/>
    <x v="71"/>
    <x v="1"/>
    <x v="70"/>
    <x v="1"/>
    <n v="5"/>
    <x v="1"/>
    <s v="No"/>
    <s v="-"/>
    <s v="No"/>
    <n v="0"/>
    <n v="0"/>
    <n v="5"/>
  </r>
  <r>
    <n v="3303"/>
    <x v="72"/>
    <x v="0"/>
    <x v="71"/>
    <x v="0"/>
    <n v="15"/>
    <x v="2"/>
    <s v="Yes"/>
    <n v="30"/>
    <s v="Yes"/>
    <n v="20"/>
    <n v="20"/>
    <n v="45"/>
  </r>
  <r>
    <n v="3304"/>
    <x v="73"/>
    <x v="2"/>
    <x v="72"/>
    <x v="1"/>
    <n v="10"/>
    <x v="2"/>
    <s v="No"/>
    <s v="-"/>
    <s v="Yes"/>
    <n v="20"/>
    <n v="12"/>
    <n v="18"/>
  </r>
  <r>
    <n v="3305"/>
    <x v="74"/>
    <x v="1"/>
    <x v="73"/>
    <x v="0"/>
    <n v="5"/>
    <x v="0"/>
    <s v="No"/>
    <s v="-"/>
    <s v="No"/>
    <n v="0"/>
    <n v="2"/>
    <n v="3"/>
  </r>
  <r>
    <n v="3306"/>
    <x v="75"/>
    <x v="0"/>
    <x v="74"/>
    <x v="1"/>
    <n v="15"/>
    <x v="1"/>
    <s v="Yes"/>
    <n v="30"/>
    <s v="Yes"/>
    <n v="20"/>
    <n v="5"/>
    <n v="60"/>
  </r>
  <r>
    <n v="3307"/>
    <x v="76"/>
    <x v="2"/>
    <x v="75"/>
    <x v="0"/>
    <n v="10"/>
    <x v="0"/>
    <s v="No"/>
    <s v="-"/>
    <s v="Yes"/>
    <n v="20"/>
    <n v="10"/>
    <n v="20"/>
  </r>
  <r>
    <n v="3308"/>
    <x v="77"/>
    <x v="1"/>
    <x v="76"/>
    <x v="1"/>
    <n v="5"/>
    <x v="2"/>
    <s v="No"/>
    <s v="-"/>
    <s v="No"/>
    <n v="0"/>
    <n v="0"/>
    <n v="5"/>
  </r>
  <r>
    <n v="3309"/>
    <x v="78"/>
    <x v="0"/>
    <x v="77"/>
    <x v="0"/>
    <n v="15"/>
    <x v="0"/>
    <s v="Yes"/>
    <n v="30"/>
    <s v="Yes"/>
    <n v="20"/>
    <n v="3"/>
    <n v="62"/>
  </r>
  <r>
    <n v="3310"/>
    <x v="79"/>
    <x v="2"/>
    <x v="78"/>
    <x v="1"/>
    <n v="10"/>
    <x v="1"/>
    <s v="No"/>
    <s v="-"/>
    <s v="Yes"/>
    <n v="20"/>
    <n v="15"/>
    <n v="15"/>
  </r>
  <r>
    <n v="3311"/>
    <x v="80"/>
    <x v="1"/>
    <x v="79"/>
    <x v="0"/>
    <n v="5"/>
    <x v="0"/>
    <s v="No"/>
    <s v="-"/>
    <s v="No"/>
    <n v="0"/>
    <n v="1"/>
    <n v="4"/>
  </r>
  <r>
    <n v="3312"/>
    <x v="81"/>
    <x v="0"/>
    <x v="80"/>
    <x v="1"/>
    <n v="15"/>
    <x v="2"/>
    <s v="Yes"/>
    <n v="30"/>
    <s v="Yes"/>
    <n v="20"/>
    <n v="7"/>
    <n v="58"/>
  </r>
  <r>
    <n v="3313"/>
    <x v="82"/>
    <x v="2"/>
    <x v="81"/>
    <x v="0"/>
    <n v="10"/>
    <x v="0"/>
    <s v="No"/>
    <s v="-"/>
    <s v="Yes"/>
    <n v="20"/>
    <n v="10"/>
    <n v="20"/>
  </r>
  <r>
    <n v="3314"/>
    <x v="83"/>
    <x v="1"/>
    <x v="82"/>
    <x v="1"/>
    <n v="5"/>
    <x v="1"/>
    <s v="No"/>
    <s v="-"/>
    <s v="No"/>
    <n v="0"/>
    <n v="0"/>
    <n v="5"/>
  </r>
  <r>
    <n v="3315"/>
    <x v="84"/>
    <x v="0"/>
    <x v="83"/>
    <x v="0"/>
    <n v="15"/>
    <x v="0"/>
    <s v="Yes"/>
    <n v="30"/>
    <s v="Yes"/>
    <n v="20"/>
    <n v="20"/>
    <n v="45"/>
  </r>
  <r>
    <n v="3316"/>
    <x v="85"/>
    <x v="2"/>
    <x v="84"/>
    <x v="1"/>
    <n v="10"/>
    <x v="2"/>
    <s v="No"/>
    <s v="-"/>
    <s v="Yes"/>
    <n v="20"/>
    <n v="15"/>
    <n v="15"/>
  </r>
  <r>
    <n v="3317"/>
    <x v="86"/>
    <x v="1"/>
    <x v="85"/>
    <x v="0"/>
    <n v="5"/>
    <x v="0"/>
    <s v="No"/>
    <s v="-"/>
    <s v="No"/>
    <n v="0"/>
    <n v="1"/>
    <n v="4"/>
  </r>
  <r>
    <n v="3318"/>
    <x v="87"/>
    <x v="0"/>
    <x v="86"/>
    <x v="1"/>
    <n v="15"/>
    <x v="1"/>
    <s v="Yes"/>
    <n v="30"/>
    <s v="Yes"/>
    <n v="20"/>
    <n v="3"/>
    <n v="62"/>
  </r>
  <r>
    <n v="3319"/>
    <x v="88"/>
    <x v="2"/>
    <x v="87"/>
    <x v="0"/>
    <n v="10"/>
    <x v="0"/>
    <s v="No"/>
    <s v="-"/>
    <s v="Yes"/>
    <n v="20"/>
    <n v="10"/>
    <n v="20"/>
  </r>
  <r>
    <n v="3320"/>
    <x v="89"/>
    <x v="1"/>
    <x v="88"/>
    <x v="1"/>
    <n v="5"/>
    <x v="2"/>
    <s v="No"/>
    <s v="-"/>
    <s v="No"/>
    <n v="0"/>
    <n v="0"/>
    <n v="5"/>
  </r>
  <r>
    <n v="3321"/>
    <x v="90"/>
    <x v="0"/>
    <x v="89"/>
    <x v="0"/>
    <n v="15"/>
    <x v="0"/>
    <s v="Yes"/>
    <n v="30"/>
    <s v="Yes"/>
    <n v="20"/>
    <n v="5"/>
    <n v="60"/>
  </r>
  <r>
    <n v="3322"/>
    <x v="91"/>
    <x v="2"/>
    <x v="90"/>
    <x v="1"/>
    <n v="10"/>
    <x v="1"/>
    <s v="No"/>
    <s v="-"/>
    <s v="Yes"/>
    <n v="20"/>
    <n v="15"/>
    <n v="15"/>
  </r>
  <r>
    <n v="3323"/>
    <x v="92"/>
    <x v="1"/>
    <x v="91"/>
    <x v="0"/>
    <n v="5"/>
    <x v="0"/>
    <s v="No"/>
    <s v="-"/>
    <s v="No"/>
    <n v="0"/>
    <n v="1"/>
    <n v="4"/>
  </r>
  <r>
    <n v="3324"/>
    <x v="93"/>
    <x v="0"/>
    <x v="92"/>
    <x v="1"/>
    <n v="15"/>
    <x v="2"/>
    <s v="Yes"/>
    <n v="30"/>
    <s v="Yes"/>
    <n v="20"/>
    <n v="20"/>
    <n v="45"/>
  </r>
  <r>
    <n v="3325"/>
    <x v="94"/>
    <x v="2"/>
    <x v="93"/>
    <x v="0"/>
    <n v="10"/>
    <x v="2"/>
    <s v="No"/>
    <s v="-"/>
    <s v="Yes"/>
    <n v="20"/>
    <n v="15"/>
    <n v="15"/>
  </r>
  <r>
    <n v="3326"/>
    <x v="95"/>
    <x v="1"/>
    <x v="94"/>
    <x v="1"/>
    <n v="5"/>
    <x v="1"/>
    <s v="No"/>
    <s v="-"/>
    <s v="No"/>
    <n v="0"/>
    <n v="0"/>
    <n v="5"/>
  </r>
  <r>
    <n v="3327"/>
    <x v="96"/>
    <x v="0"/>
    <x v="95"/>
    <x v="0"/>
    <n v="15"/>
    <x v="0"/>
    <s v="Yes"/>
    <n v="30"/>
    <s v="Yes"/>
    <n v="20"/>
    <n v="7"/>
    <n v="58"/>
  </r>
  <r>
    <n v="3328"/>
    <x v="97"/>
    <x v="2"/>
    <x v="96"/>
    <x v="1"/>
    <n v="10"/>
    <x v="1"/>
    <s v="No"/>
    <s v="-"/>
    <s v="Yes"/>
    <n v="20"/>
    <n v="10"/>
    <n v="20"/>
  </r>
  <r>
    <n v="3329"/>
    <x v="98"/>
    <x v="1"/>
    <x v="97"/>
    <x v="0"/>
    <n v="5"/>
    <x v="2"/>
    <s v="No"/>
    <s v="-"/>
    <s v="No"/>
    <n v="0"/>
    <n v="1"/>
    <n v="4"/>
  </r>
  <r>
    <n v="3330"/>
    <x v="99"/>
    <x v="0"/>
    <x v="98"/>
    <x v="1"/>
    <n v="15"/>
    <x v="0"/>
    <s v="Yes"/>
    <n v="30"/>
    <s v="Yes"/>
    <n v="20"/>
    <n v="15"/>
    <n v="50"/>
  </r>
  <r>
    <n v="3331"/>
    <x v="100"/>
    <x v="2"/>
    <x v="99"/>
    <x v="0"/>
    <n v="10"/>
    <x v="0"/>
    <s v="No"/>
    <s v="-"/>
    <s v="Yes"/>
    <n v="20"/>
    <n v="5"/>
    <n v="25"/>
  </r>
  <r>
    <n v="3332"/>
    <x v="101"/>
    <x v="1"/>
    <x v="100"/>
    <x v="1"/>
    <n v="5"/>
    <x v="1"/>
    <s v="No"/>
    <s v="-"/>
    <s v="No"/>
    <n v="0"/>
    <n v="0"/>
    <n v="5"/>
  </r>
  <r>
    <n v="3333"/>
    <x v="102"/>
    <x v="0"/>
    <x v="101"/>
    <x v="0"/>
    <n v="15"/>
    <x v="2"/>
    <s v="Yes"/>
    <n v="30"/>
    <s v="Yes"/>
    <n v="20"/>
    <n v="20"/>
    <n v="45"/>
  </r>
  <r>
    <n v="3334"/>
    <x v="103"/>
    <x v="2"/>
    <x v="102"/>
    <x v="1"/>
    <n v="10"/>
    <x v="2"/>
    <s v="No"/>
    <s v="-"/>
    <s v="Yes"/>
    <n v="20"/>
    <n v="12"/>
    <n v="18"/>
  </r>
  <r>
    <n v="3335"/>
    <x v="104"/>
    <x v="1"/>
    <x v="103"/>
    <x v="0"/>
    <n v="5"/>
    <x v="0"/>
    <s v="No"/>
    <s v="-"/>
    <s v="No"/>
    <n v="0"/>
    <n v="2"/>
    <n v="3"/>
  </r>
  <r>
    <n v="3336"/>
    <x v="105"/>
    <x v="1"/>
    <x v="104"/>
    <x v="0"/>
    <n v="5"/>
    <x v="0"/>
    <s v="No"/>
    <s v="-"/>
    <s v="No"/>
    <n v="0"/>
    <n v="0"/>
    <n v="5"/>
  </r>
  <r>
    <n v="3337"/>
    <x v="106"/>
    <x v="0"/>
    <x v="105"/>
    <x v="1"/>
    <n v="15"/>
    <x v="2"/>
    <s v="Yes"/>
    <n v="30"/>
    <s v="Yes"/>
    <n v="20"/>
    <n v="7"/>
    <n v="58"/>
  </r>
  <r>
    <n v="3338"/>
    <x v="107"/>
    <x v="2"/>
    <x v="106"/>
    <x v="0"/>
    <n v="10"/>
    <x v="1"/>
    <s v="No"/>
    <s v="-"/>
    <s v="Yes"/>
    <n v="20"/>
    <n v="10"/>
    <n v="20"/>
  </r>
  <r>
    <n v="3339"/>
    <x v="108"/>
    <x v="1"/>
    <x v="107"/>
    <x v="1"/>
    <n v="5"/>
    <x v="2"/>
    <s v="No"/>
    <s v="-"/>
    <s v="No"/>
    <n v="0"/>
    <n v="1"/>
    <n v="4"/>
  </r>
  <r>
    <n v="3340"/>
    <x v="109"/>
    <x v="0"/>
    <x v="108"/>
    <x v="0"/>
    <n v="15"/>
    <x v="0"/>
    <s v="Yes"/>
    <n v="30"/>
    <s v="Yes"/>
    <n v="20"/>
    <n v="15"/>
    <n v="50"/>
  </r>
  <r>
    <n v="3341"/>
    <x v="110"/>
    <x v="2"/>
    <x v="109"/>
    <x v="1"/>
    <n v="10"/>
    <x v="0"/>
    <s v="No"/>
    <s v="-"/>
    <s v="Yes"/>
    <n v="20"/>
    <n v="5"/>
    <n v="25"/>
  </r>
  <r>
    <n v="3342"/>
    <x v="111"/>
    <x v="1"/>
    <x v="110"/>
    <x v="0"/>
    <n v="5"/>
    <x v="1"/>
    <s v="No"/>
    <s v="-"/>
    <s v="No"/>
    <n v="0"/>
    <n v="0"/>
    <n v="5"/>
  </r>
  <r>
    <n v="3343"/>
    <x v="112"/>
    <x v="0"/>
    <x v="111"/>
    <x v="1"/>
    <n v="15"/>
    <x v="2"/>
    <s v="Yes"/>
    <n v="30"/>
    <s v="Yes"/>
    <n v="20"/>
    <n v="20"/>
    <n v="45"/>
  </r>
  <r>
    <n v="3344"/>
    <x v="113"/>
    <x v="2"/>
    <x v="112"/>
    <x v="0"/>
    <n v="10"/>
    <x v="2"/>
    <s v="No"/>
    <s v="-"/>
    <s v="Yes"/>
    <n v="20"/>
    <n v="12"/>
    <n v="18"/>
  </r>
  <r>
    <n v="3345"/>
    <x v="114"/>
    <x v="1"/>
    <x v="113"/>
    <x v="1"/>
    <n v="5"/>
    <x v="0"/>
    <s v="No"/>
    <s v="-"/>
    <s v="No"/>
    <n v="0"/>
    <n v="2"/>
    <n v="3"/>
  </r>
  <r>
    <n v="3346"/>
    <x v="115"/>
    <x v="0"/>
    <x v="114"/>
    <x v="0"/>
    <n v="15"/>
    <x v="1"/>
    <s v="Yes"/>
    <n v="30"/>
    <s v="Yes"/>
    <n v="20"/>
    <n v="5"/>
    <n v="60"/>
  </r>
  <r>
    <n v="3347"/>
    <x v="116"/>
    <x v="2"/>
    <x v="115"/>
    <x v="1"/>
    <n v="10"/>
    <x v="0"/>
    <s v="No"/>
    <s v="-"/>
    <s v="Yes"/>
    <n v="20"/>
    <n v="10"/>
    <n v="20"/>
  </r>
  <r>
    <n v="3348"/>
    <x v="117"/>
    <x v="1"/>
    <x v="116"/>
    <x v="0"/>
    <n v="5"/>
    <x v="2"/>
    <s v="No"/>
    <s v="-"/>
    <s v="No"/>
    <n v="0"/>
    <n v="0"/>
    <n v="5"/>
  </r>
  <r>
    <n v="3349"/>
    <x v="93"/>
    <x v="0"/>
    <x v="117"/>
    <x v="1"/>
    <n v="15"/>
    <x v="0"/>
    <s v="Yes"/>
    <n v="30"/>
    <s v="Yes"/>
    <n v="20"/>
    <n v="3"/>
    <n v="62"/>
  </r>
  <r>
    <n v="3350"/>
    <x v="118"/>
    <x v="2"/>
    <x v="118"/>
    <x v="0"/>
    <n v="10"/>
    <x v="1"/>
    <s v="No"/>
    <s v="-"/>
    <s v="Yes"/>
    <n v="20"/>
    <n v="15"/>
    <n v="15"/>
  </r>
  <r>
    <n v="3351"/>
    <x v="119"/>
    <x v="1"/>
    <x v="119"/>
    <x v="1"/>
    <n v="5"/>
    <x v="0"/>
    <s v="No"/>
    <s v="-"/>
    <s v="No"/>
    <n v="0"/>
    <n v="1"/>
    <n v="4"/>
  </r>
  <r>
    <n v="3352"/>
    <x v="120"/>
    <x v="0"/>
    <x v="120"/>
    <x v="0"/>
    <n v="15"/>
    <x v="2"/>
    <s v="Yes"/>
    <n v="30"/>
    <s v="Yes"/>
    <n v="20"/>
    <n v="7"/>
    <n v="58"/>
  </r>
  <r>
    <n v="3353"/>
    <x v="121"/>
    <x v="2"/>
    <x v="121"/>
    <x v="1"/>
    <n v="10"/>
    <x v="0"/>
    <s v="No"/>
    <s v="-"/>
    <s v="Yes"/>
    <n v="20"/>
    <n v="10"/>
    <n v="20"/>
  </r>
  <r>
    <n v="3354"/>
    <x v="122"/>
    <x v="1"/>
    <x v="122"/>
    <x v="0"/>
    <n v="5"/>
    <x v="1"/>
    <s v="No"/>
    <s v="-"/>
    <s v="No"/>
    <n v="0"/>
    <n v="0"/>
    <n v="5"/>
  </r>
  <r>
    <n v="3355"/>
    <x v="123"/>
    <x v="0"/>
    <x v="123"/>
    <x v="1"/>
    <n v="15"/>
    <x v="0"/>
    <s v="Yes"/>
    <n v="30"/>
    <s v="Yes"/>
    <n v="20"/>
    <n v="20"/>
    <n v="45"/>
  </r>
  <r>
    <n v="3356"/>
    <x v="124"/>
    <x v="2"/>
    <x v="124"/>
    <x v="0"/>
    <n v="10"/>
    <x v="2"/>
    <s v="No"/>
    <s v="-"/>
    <s v="Yes"/>
    <n v="20"/>
    <n v="15"/>
    <n v="15"/>
  </r>
  <r>
    <n v="3357"/>
    <x v="125"/>
    <x v="1"/>
    <x v="125"/>
    <x v="1"/>
    <n v="5"/>
    <x v="0"/>
    <s v="No"/>
    <s v="-"/>
    <s v="No"/>
    <n v="0"/>
    <n v="1"/>
    <n v="4"/>
  </r>
  <r>
    <n v="3358"/>
    <x v="126"/>
    <x v="0"/>
    <x v="126"/>
    <x v="0"/>
    <n v="15"/>
    <x v="1"/>
    <s v="Yes"/>
    <n v="30"/>
    <s v="Yes"/>
    <n v="20"/>
    <n v="3"/>
    <n v="62"/>
  </r>
  <r>
    <n v="3359"/>
    <x v="127"/>
    <x v="2"/>
    <x v="127"/>
    <x v="1"/>
    <n v="10"/>
    <x v="0"/>
    <s v="No"/>
    <s v="-"/>
    <s v="Yes"/>
    <n v="20"/>
    <n v="10"/>
    <n v="20"/>
  </r>
  <r>
    <n v="3360"/>
    <x v="128"/>
    <x v="1"/>
    <x v="128"/>
    <x v="0"/>
    <n v="5"/>
    <x v="2"/>
    <s v="No"/>
    <s v="-"/>
    <s v="No"/>
    <n v="0"/>
    <n v="0"/>
    <n v="5"/>
  </r>
  <r>
    <n v="3361"/>
    <x v="129"/>
    <x v="0"/>
    <x v="129"/>
    <x v="1"/>
    <n v="15"/>
    <x v="0"/>
    <s v="Yes"/>
    <n v="30"/>
    <s v="Yes"/>
    <n v="20"/>
    <n v="15"/>
    <n v="50"/>
  </r>
  <r>
    <n v="3362"/>
    <x v="130"/>
    <x v="2"/>
    <x v="130"/>
    <x v="0"/>
    <n v="10"/>
    <x v="1"/>
    <s v="No"/>
    <s v="-"/>
    <s v="Yes"/>
    <n v="20"/>
    <n v="15"/>
    <n v="15"/>
  </r>
  <r>
    <n v="3363"/>
    <x v="131"/>
    <x v="1"/>
    <x v="131"/>
    <x v="1"/>
    <n v="5"/>
    <x v="0"/>
    <s v="No"/>
    <s v="-"/>
    <s v="No"/>
    <n v="0"/>
    <n v="1"/>
    <n v="4"/>
  </r>
  <r>
    <n v="3364"/>
    <x v="132"/>
    <x v="0"/>
    <x v="132"/>
    <x v="0"/>
    <n v="15"/>
    <x v="2"/>
    <s v="Yes"/>
    <n v="30"/>
    <s v="Yes"/>
    <n v="20"/>
    <n v="7"/>
    <n v="58"/>
  </r>
  <r>
    <n v="3365"/>
    <x v="133"/>
    <x v="2"/>
    <x v="133"/>
    <x v="1"/>
    <n v="10"/>
    <x v="0"/>
    <s v="No"/>
    <s v="-"/>
    <s v="Yes"/>
    <n v="20"/>
    <n v="10"/>
    <n v="20"/>
  </r>
  <r>
    <n v="3366"/>
    <x v="134"/>
    <x v="1"/>
    <x v="134"/>
    <x v="0"/>
    <n v="5"/>
    <x v="0"/>
    <s v="No"/>
    <s v="-"/>
    <s v="No"/>
    <n v="0"/>
    <n v="0"/>
    <n v="5"/>
  </r>
  <r>
    <n v="3367"/>
    <x v="135"/>
    <x v="0"/>
    <x v="135"/>
    <x v="1"/>
    <n v="15"/>
    <x v="2"/>
    <s v="Yes"/>
    <n v="30"/>
    <s v="Yes"/>
    <n v="20"/>
    <n v="7"/>
    <n v="58"/>
  </r>
  <r>
    <n v="3368"/>
    <x v="136"/>
    <x v="2"/>
    <x v="136"/>
    <x v="0"/>
    <n v="10"/>
    <x v="1"/>
    <s v="No"/>
    <s v="-"/>
    <s v="Yes"/>
    <n v="20"/>
    <n v="10"/>
    <n v="20"/>
  </r>
  <r>
    <n v="3369"/>
    <x v="137"/>
    <x v="1"/>
    <x v="137"/>
    <x v="1"/>
    <n v="5"/>
    <x v="2"/>
    <s v="No"/>
    <s v="-"/>
    <s v="No"/>
    <n v="0"/>
    <n v="1"/>
    <n v="4"/>
  </r>
  <r>
    <n v="3370"/>
    <x v="138"/>
    <x v="0"/>
    <x v="138"/>
    <x v="0"/>
    <n v="15"/>
    <x v="0"/>
    <s v="Yes"/>
    <n v="30"/>
    <s v="Yes"/>
    <n v="20"/>
    <n v="15"/>
    <n v="50"/>
  </r>
  <r>
    <n v="3371"/>
    <x v="139"/>
    <x v="2"/>
    <x v="139"/>
    <x v="1"/>
    <n v="10"/>
    <x v="0"/>
    <s v="No"/>
    <s v="-"/>
    <s v="Yes"/>
    <n v="20"/>
    <n v="5"/>
    <n v="25"/>
  </r>
  <r>
    <n v="3372"/>
    <x v="140"/>
    <x v="1"/>
    <x v="140"/>
    <x v="0"/>
    <n v="5"/>
    <x v="1"/>
    <s v="No"/>
    <s v="-"/>
    <s v="No"/>
    <n v="0"/>
    <n v="0"/>
    <n v="5"/>
  </r>
  <r>
    <n v="3373"/>
    <x v="141"/>
    <x v="0"/>
    <x v="141"/>
    <x v="1"/>
    <n v="15"/>
    <x v="2"/>
    <s v="Yes"/>
    <n v="30"/>
    <s v="Yes"/>
    <n v="20"/>
    <n v="20"/>
    <n v="45"/>
  </r>
  <r>
    <n v="3374"/>
    <x v="142"/>
    <x v="2"/>
    <x v="142"/>
    <x v="0"/>
    <n v="10"/>
    <x v="2"/>
    <s v="No"/>
    <s v="-"/>
    <s v="Yes"/>
    <n v="20"/>
    <n v="12"/>
    <n v="18"/>
  </r>
  <r>
    <n v="3375"/>
    <x v="143"/>
    <x v="1"/>
    <x v="143"/>
    <x v="1"/>
    <n v="5"/>
    <x v="0"/>
    <s v="No"/>
    <s v="-"/>
    <s v="No"/>
    <n v="0"/>
    <n v="2"/>
    <n v="3"/>
  </r>
  <r>
    <n v="3376"/>
    <x v="144"/>
    <x v="0"/>
    <x v="144"/>
    <x v="0"/>
    <n v="15"/>
    <x v="1"/>
    <s v="Yes"/>
    <n v="30"/>
    <s v="Yes"/>
    <n v="20"/>
    <n v="5"/>
    <n v="60"/>
  </r>
  <r>
    <n v="3377"/>
    <x v="145"/>
    <x v="2"/>
    <x v="145"/>
    <x v="1"/>
    <n v="10"/>
    <x v="0"/>
    <s v="No"/>
    <s v="-"/>
    <s v="Yes"/>
    <n v="20"/>
    <n v="10"/>
    <n v="20"/>
  </r>
  <r>
    <n v="3378"/>
    <x v="146"/>
    <x v="1"/>
    <x v="146"/>
    <x v="0"/>
    <n v="5"/>
    <x v="2"/>
    <s v="No"/>
    <s v="-"/>
    <s v="No"/>
    <n v="0"/>
    <n v="0"/>
    <n v="5"/>
  </r>
  <r>
    <n v="3379"/>
    <x v="147"/>
    <x v="0"/>
    <x v="147"/>
    <x v="1"/>
    <n v="15"/>
    <x v="0"/>
    <s v="Yes"/>
    <n v="30"/>
    <s v="Yes"/>
    <n v="20"/>
    <n v="3"/>
    <n v="62"/>
  </r>
  <r>
    <n v="3380"/>
    <x v="148"/>
    <x v="2"/>
    <x v="148"/>
    <x v="0"/>
    <n v="10"/>
    <x v="1"/>
    <s v="No"/>
    <s v="-"/>
    <s v="Yes"/>
    <n v="20"/>
    <n v="15"/>
    <n v="15"/>
  </r>
  <r>
    <n v="3381"/>
    <x v="149"/>
    <x v="1"/>
    <x v="149"/>
    <x v="1"/>
    <n v="5"/>
    <x v="0"/>
    <s v="No"/>
    <s v="-"/>
    <s v="No"/>
    <n v="0"/>
    <n v="1"/>
    <n v="4"/>
  </r>
  <r>
    <n v="3382"/>
    <x v="150"/>
    <x v="0"/>
    <x v="150"/>
    <x v="0"/>
    <n v="15"/>
    <x v="2"/>
    <s v="Yes"/>
    <n v="30"/>
    <s v="Yes"/>
    <n v="20"/>
    <n v="7"/>
    <n v="58"/>
  </r>
  <r>
    <n v="3383"/>
    <x v="151"/>
    <x v="2"/>
    <x v="151"/>
    <x v="1"/>
    <n v="10"/>
    <x v="0"/>
    <s v="No"/>
    <s v="-"/>
    <s v="Yes"/>
    <n v="20"/>
    <n v="10"/>
    <n v="20"/>
  </r>
  <r>
    <n v="3384"/>
    <x v="152"/>
    <x v="1"/>
    <x v="152"/>
    <x v="0"/>
    <n v="5"/>
    <x v="1"/>
    <s v="No"/>
    <s v="-"/>
    <s v="No"/>
    <n v="0"/>
    <n v="0"/>
    <n v="5"/>
  </r>
  <r>
    <n v="3385"/>
    <x v="153"/>
    <x v="0"/>
    <x v="153"/>
    <x v="1"/>
    <n v="15"/>
    <x v="0"/>
    <s v="Yes"/>
    <n v="30"/>
    <s v="Yes"/>
    <n v="20"/>
    <n v="20"/>
    <n v="45"/>
  </r>
  <r>
    <n v="3386"/>
    <x v="154"/>
    <x v="2"/>
    <x v="154"/>
    <x v="0"/>
    <n v="10"/>
    <x v="2"/>
    <s v="No"/>
    <s v="-"/>
    <s v="Yes"/>
    <n v="20"/>
    <n v="15"/>
    <n v="15"/>
  </r>
  <r>
    <n v="3387"/>
    <x v="155"/>
    <x v="1"/>
    <x v="155"/>
    <x v="1"/>
    <n v="5"/>
    <x v="0"/>
    <s v="No"/>
    <s v="-"/>
    <s v="No"/>
    <n v="0"/>
    <n v="1"/>
    <n v="4"/>
  </r>
  <r>
    <n v="3388"/>
    <x v="156"/>
    <x v="0"/>
    <x v="156"/>
    <x v="0"/>
    <n v="15"/>
    <x v="1"/>
    <s v="Yes"/>
    <n v="30"/>
    <s v="Yes"/>
    <n v="20"/>
    <n v="3"/>
    <n v="62"/>
  </r>
  <r>
    <n v="3389"/>
    <x v="157"/>
    <x v="2"/>
    <x v="157"/>
    <x v="1"/>
    <n v="10"/>
    <x v="0"/>
    <s v="No"/>
    <s v="-"/>
    <s v="Yes"/>
    <n v="20"/>
    <n v="10"/>
    <n v="20"/>
  </r>
  <r>
    <n v="3390"/>
    <x v="158"/>
    <x v="1"/>
    <x v="158"/>
    <x v="0"/>
    <n v="5"/>
    <x v="2"/>
    <s v="No"/>
    <s v="-"/>
    <s v="No"/>
    <n v="0"/>
    <n v="0"/>
    <n v="5"/>
  </r>
  <r>
    <n v="3391"/>
    <x v="58"/>
    <x v="0"/>
    <x v="159"/>
    <x v="1"/>
    <n v="15"/>
    <x v="0"/>
    <s v="Yes"/>
    <n v="30"/>
    <s v="Yes"/>
    <n v="20"/>
    <n v="15"/>
    <n v="50"/>
  </r>
  <r>
    <n v="3392"/>
    <x v="159"/>
    <x v="2"/>
    <x v="160"/>
    <x v="0"/>
    <n v="10"/>
    <x v="1"/>
    <s v="No"/>
    <s v="-"/>
    <s v="Yes"/>
    <n v="20"/>
    <n v="15"/>
    <n v="15"/>
  </r>
  <r>
    <n v="3393"/>
    <x v="160"/>
    <x v="1"/>
    <x v="161"/>
    <x v="1"/>
    <n v="5"/>
    <x v="0"/>
    <s v="No"/>
    <s v="-"/>
    <s v="No"/>
    <n v="0"/>
    <n v="1"/>
    <n v="4"/>
  </r>
  <r>
    <n v="3394"/>
    <x v="161"/>
    <x v="0"/>
    <x v="162"/>
    <x v="0"/>
    <n v="15"/>
    <x v="2"/>
    <s v="Yes"/>
    <n v="30"/>
    <s v="Yes"/>
    <n v="20"/>
    <n v="7"/>
    <n v="58"/>
  </r>
  <r>
    <n v="3395"/>
    <x v="162"/>
    <x v="2"/>
    <x v="163"/>
    <x v="1"/>
    <n v="10"/>
    <x v="0"/>
    <s v="No"/>
    <s v="-"/>
    <s v="Yes"/>
    <n v="20"/>
    <n v="10"/>
    <n v="20"/>
  </r>
  <r>
    <n v="3396"/>
    <x v="163"/>
    <x v="1"/>
    <x v="164"/>
    <x v="0"/>
    <n v="5"/>
    <x v="1"/>
    <s v="No"/>
    <s v="-"/>
    <s v="No"/>
    <n v="0"/>
    <n v="0"/>
    <n v="5"/>
  </r>
  <r>
    <n v="3397"/>
    <x v="90"/>
    <x v="0"/>
    <x v="165"/>
    <x v="1"/>
    <n v="15"/>
    <x v="0"/>
    <s v="Yes"/>
    <n v="30"/>
    <s v="Yes"/>
    <n v="20"/>
    <n v="20"/>
    <n v="45"/>
  </r>
  <r>
    <n v="3398"/>
    <x v="164"/>
    <x v="2"/>
    <x v="166"/>
    <x v="0"/>
    <n v="10"/>
    <x v="2"/>
    <s v="No"/>
    <s v="-"/>
    <s v="Yes"/>
    <n v="20"/>
    <n v="15"/>
    <n v="15"/>
  </r>
  <r>
    <n v="3399"/>
    <x v="165"/>
    <x v="1"/>
    <x v="167"/>
    <x v="1"/>
    <n v="5"/>
    <x v="0"/>
    <s v="No"/>
    <s v="-"/>
    <s v="No"/>
    <n v="0"/>
    <n v="1"/>
    <n v="4"/>
  </r>
  <r>
    <n v="3400"/>
    <x v="166"/>
    <x v="0"/>
    <x v="168"/>
    <x v="0"/>
    <n v="15"/>
    <x v="1"/>
    <s v="Yes"/>
    <n v="30"/>
    <s v="Yes"/>
    <n v="20"/>
    <n v="5"/>
    <n v="60"/>
  </r>
  <r>
    <n v="3401"/>
    <x v="167"/>
    <x v="2"/>
    <x v="169"/>
    <x v="1"/>
    <n v="10"/>
    <x v="0"/>
    <s v="No"/>
    <s v="-"/>
    <s v="Yes"/>
    <n v="20"/>
    <n v="10"/>
    <n v="20"/>
  </r>
  <r>
    <n v="3402"/>
    <x v="168"/>
    <x v="1"/>
    <x v="170"/>
    <x v="0"/>
    <n v="5"/>
    <x v="2"/>
    <s v="No"/>
    <s v="-"/>
    <s v="No"/>
    <n v="0"/>
    <n v="0"/>
    <n v="5"/>
  </r>
  <r>
    <n v="3403"/>
    <x v="169"/>
    <x v="0"/>
    <x v="171"/>
    <x v="1"/>
    <n v="15"/>
    <x v="0"/>
    <s v="Yes"/>
    <n v="30"/>
    <s v="Yes"/>
    <n v="20"/>
    <n v="3"/>
    <n v="62"/>
  </r>
  <r>
    <n v="3404"/>
    <x v="170"/>
    <x v="2"/>
    <x v="172"/>
    <x v="0"/>
    <n v="10"/>
    <x v="1"/>
    <s v="No"/>
    <s v="-"/>
    <s v="Yes"/>
    <n v="20"/>
    <n v="15"/>
    <n v="15"/>
  </r>
  <r>
    <n v="3405"/>
    <x v="171"/>
    <x v="1"/>
    <x v="173"/>
    <x v="1"/>
    <n v="5"/>
    <x v="0"/>
    <s v="No"/>
    <s v="-"/>
    <s v="No"/>
    <n v="0"/>
    <n v="1"/>
    <n v="4"/>
  </r>
  <r>
    <n v="3406"/>
    <x v="172"/>
    <x v="1"/>
    <x v="174"/>
    <x v="0"/>
    <n v="5"/>
    <x v="0"/>
    <s v="No"/>
    <s v="-"/>
    <s v="No"/>
    <n v="0"/>
    <n v="0"/>
    <n v="5"/>
  </r>
  <r>
    <n v="3407"/>
    <x v="173"/>
    <x v="0"/>
    <x v="175"/>
    <x v="1"/>
    <n v="15"/>
    <x v="2"/>
    <s v="Yes"/>
    <n v="30"/>
    <s v="Yes"/>
    <n v="20"/>
    <n v="7"/>
    <n v="58"/>
  </r>
  <r>
    <n v="3408"/>
    <x v="174"/>
    <x v="2"/>
    <x v="176"/>
    <x v="0"/>
    <n v="10"/>
    <x v="1"/>
    <s v="No"/>
    <s v="-"/>
    <s v="Yes"/>
    <n v="20"/>
    <n v="10"/>
    <n v="20"/>
  </r>
  <r>
    <n v="3409"/>
    <x v="175"/>
    <x v="1"/>
    <x v="177"/>
    <x v="1"/>
    <n v="5"/>
    <x v="2"/>
    <s v="No"/>
    <s v="-"/>
    <s v="No"/>
    <n v="0"/>
    <n v="1"/>
    <n v="4"/>
  </r>
  <r>
    <n v="3410"/>
    <x v="176"/>
    <x v="0"/>
    <x v="178"/>
    <x v="0"/>
    <n v="15"/>
    <x v="0"/>
    <s v="Yes"/>
    <n v="30"/>
    <s v="Yes"/>
    <n v="20"/>
    <n v="15"/>
    <n v="50"/>
  </r>
  <r>
    <n v="3411"/>
    <x v="177"/>
    <x v="2"/>
    <x v="179"/>
    <x v="1"/>
    <n v="10"/>
    <x v="0"/>
    <s v="No"/>
    <s v="-"/>
    <s v="Yes"/>
    <n v="20"/>
    <n v="5"/>
    <n v="25"/>
  </r>
  <r>
    <n v="3412"/>
    <x v="178"/>
    <x v="1"/>
    <x v="180"/>
    <x v="0"/>
    <n v="5"/>
    <x v="1"/>
    <s v="No"/>
    <s v="-"/>
    <s v="No"/>
    <n v="0"/>
    <n v="0"/>
    <n v="5"/>
  </r>
  <r>
    <n v="3413"/>
    <x v="179"/>
    <x v="0"/>
    <x v="181"/>
    <x v="1"/>
    <n v="15"/>
    <x v="2"/>
    <s v="Yes"/>
    <n v="30"/>
    <s v="Yes"/>
    <n v="20"/>
    <n v="20"/>
    <n v="45"/>
  </r>
  <r>
    <n v="3414"/>
    <x v="180"/>
    <x v="2"/>
    <x v="182"/>
    <x v="0"/>
    <n v="10"/>
    <x v="2"/>
    <s v="No"/>
    <s v="-"/>
    <s v="Yes"/>
    <n v="20"/>
    <n v="12"/>
    <n v="18"/>
  </r>
  <r>
    <n v="3415"/>
    <x v="181"/>
    <x v="1"/>
    <x v="183"/>
    <x v="1"/>
    <n v="5"/>
    <x v="0"/>
    <s v="No"/>
    <s v="-"/>
    <s v="No"/>
    <n v="0"/>
    <n v="2"/>
    <n v="3"/>
  </r>
  <r>
    <n v="3416"/>
    <x v="182"/>
    <x v="0"/>
    <x v="184"/>
    <x v="0"/>
    <n v="15"/>
    <x v="1"/>
    <s v="Yes"/>
    <n v="30"/>
    <s v="Yes"/>
    <n v="20"/>
    <n v="5"/>
    <n v="60"/>
  </r>
  <r>
    <n v="3417"/>
    <x v="183"/>
    <x v="2"/>
    <x v="185"/>
    <x v="1"/>
    <n v="10"/>
    <x v="0"/>
    <s v="No"/>
    <s v="-"/>
    <s v="Yes"/>
    <n v="20"/>
    <n v="10"/>
    <n v="20"/>
  </r>
  <r>
    <n v="3418"/>
    <x v="184"/>
    <x v="1"/>
    <x v="186"/>
    <x v="0"/>
    <n v="5"/>
    <x v="2"/>
    <s v="No"/>
    <s v="-"/>
    <s v="No"/>
    <n v="0"/>
    <n v="0"/>
    <n v="5"/>
  </r>
  <r>
    <n v="3419"/>
    <x v="185"/>
    <x v="0"/>
    <x v="187"/>
    <x v="1"/>
    <n v="15"/>
    <x v="0"/>
    <s v="Yes"/>
    <n v="30"/>
    <s v="Yes"/>
    <n v="20"/>
    <n v="3"/>
    <n v="62"/>
  </r>
  <r>
    <n v="3420"/>
    <x v="186"/>
    <x v="2"/>
    <x v="188"/>
    <x v="0"/>
    <n v="10"/>
    <x v="1"/>
    <s v="No"/>
    <s v="-"/>
    <s v="Yes"/>
    <n v="20"/>
    <n v="15"/>
    <n v="15"/>
  </r>
  <r>
    <n v="3421"/>
    <x v="15"/>
    <x v="1"/>
    <x v="189"/>
    <x v="1"/>
    <n v="5"/>
    <x v="0"/>
    <s v="No"/>
    <s v="-"/>
    <s v="No"/>
    <n v="0"/>
    <n v="1"/>
    <n v="4"/>
  </r>
  <r>
    <n v="3422"/>
    <x v="187"/>
    <x v="0"/>
    <x v="190"/>
    <x v="0"/>
    <n v="15"/>
    <x v="2"/>
    <s v="Yes"/>
    <n v="30"/>
    <s v="Yes"/>
    <n v="20"/>
    <n v="7"/>
    <n v="58"/>
  </r>
  <r>
    <n v="3423"/>
    <x v="188"/>
    <x v="2"/>
    <x v="191"/>
    <x v="1"/>
    <n v="10"/>
    <x v="0"/>
    <s v="No"/>
    <s v="-"/>
    <s v="Yes"/>
    <n v="20"/>
    <n v="10"/>
    <n v="20"/>
  </r>
  <r>
    <n v="3424"/>
    <x v="14"/>
    <x v="1"/>
    <x v="192"/>
    <x v="0"/>
    <n v="5"/>
    <x v="1"/>
    <s v="No"/>
    <s v="-"/>
    <s v="No"/>
    <n v="0"/>
    <n v="0"/>
    <n v="5"/>
  </r>
  <r>
    <n v="3425"/>
    <x v="189"/>
    <x v="0"/>
    <x v="193"/>
    <x v="1"/>
    <n v="15"/>
    <x v="0"/>
    <s v="Yes"/>
    <n v="30"/>
    <s v="Yes"/>
    <n v="20"/>
    <n v="20"/>
    <n v="45"/>
  </r>
  <r>
    <n v="3426"/>
    <x v="167"/>
    <x v="2"/>
    <x v="194"/>
    <x v="0"/>
    <n v="10"/>
    <x v="2"/>
    <s v="No"/>
    <s v="-"/>
    <s v="Yes"/>
    <n v="20"/>
    <n v="15"/>
    <n v="15"/>
  </r>
  <r>
    <n v="3427"/>
    <x v="190"/>
    <x v="1"/>
    <x v="195"/>
    <x v="1"/>
    <n v="5"/>
    <x v="0"/>
    <s v="No"/>
    <s v="-"/>
    <s v="No"/>
    <n v="0"/>
    <n v="1"/>
    <n v="4"/>
  </r>
  <r>
    <n v="3428"/>
    <x v="191"/>
    <x v="0"/>
    <x v="196"/>
    <x v="0"/>
    <n v="15"/>
    <x v="1"/>
    <s v="Yes"/>
    <n v="30"/>
    <s v="Yes"/>
    <n v="20"/>
    <n v="3"/>
    <n v="62"/>
  </r>
  <r>
    <n v="3429"/>
    <x v="192"/>
    <x v="2"/>
    <x v="197"/>
    <x v="1"/>
    <n v="10"/>
    <x v="0"/>
    <s v="No"/>
    <s v="-"/>
    <s v="Yes"/>
    <n v="20"/>
    <n v="10"/>
    <n v="20"/>
  </r>
  <r>
    <n v="3430"/>
    <x v="193"/>
    <x v="1"/>
    <x v="198"/>
    <x v="0"/>
    <n v="5"/>
    <x v="2"/>
    <s v="No"/>
    <s v="-"/>
    <s v="No"/>
    <n v="0"/>
    <n v="0"/>
    <n v="5"/>
  </r>
  <r>
    <n v="3431"/>
    <x v="194"/>
    <x v="0"/>
    <x v="199"/>
    <x v="1"/>
    <n v="15"/>
    <x v="0"/>
    <s v="Yes"/>
    <n v="30"/>
    <s v="Yes"/>
    <n v="20"/>
    <n v="15"/>
    <n v="50"/>
  </r>
  <r>
    <n v="3432"/>
    <x v="195"/>
    <x v="2"/>
    <x v="200"/>
    <x v="0"/>
    <n v="10"/>
    <x v="1"/>
    <s v="No"/>
    <s v="-"/>
    <s v="Yes"/>
    <n v="20"/>
    <n v="15"/>
    <n v="15"/>
  </r>
  <r>
    <n v="3433"/>
    <x v="196"/>
    <x v="1"/>
    <x v="201"/>
    <x v="1"/>
    <n v="5"/>
    <x v="0"/>
    <s v="No"/>
    <s v="-"/>
    <s v="No"/>
    <n v="0"/>
    <n v="1"/>
    <n v="4"/>
  </r>
  <r>
    <n v="3434"/>
    <x v="197"/>
    <x v="0"/>
    <x v="202"/>
    <x v="0"/>
    <n v="15"/>
    <x v="2"/>
    <s v="Yes"/>
    <n v="30"/>
    <s v="Yes"/>
    <n v="20"/>
    <n v="7"/>
    <n v="58"/>
  </r>
  <r>
    <n v="3435"/>
    <x v="198"/>
    <x v="2"/>
    <x v="203"/>
    <x v="1"/>
    <n v="10"/>
    <x v="0"/>
    <s v="No"/>
    <s v="-"/>
    <s v="Yes"/>
    <n v="20"/>
    <n v="10"/>
    <n v="20"/>
  </r>
  <r>
    <n v="3436"/>
    <x v="199"/>
    <x v="1"/>
    <x v="204"/>
    <x v="0"/>
    <n v="5"/>
    <x v="0"/>
    <s v="No"/>
    <s v="-"/>
    <s v="No"/>
    <n v="0"/>
    <n v="0"/>
    <n v="5"/>
  </r>
  <r>
    <n v="3437"/>
    <x v="200"/>
    <x v="0"/>
    <x v="205"/>
    <x v="1"/>
    <n v="15"/>
    <x v="2"/>
    <s v="Yes"/>
    <n v="30"/>
    <s v="Yes"/>
    <n v="20"/>
    <n v="7"/>
    <n v="58"/>
  </r>
  <r>
    <n v="3438"/>
    <x v="201"/>
    <x v="2"/>
    <x v="206"/>
    <x v="0"/>
    <n v="10"/>
    <x v="1"/>
    <s v="No"/>
    <s v="-"/>
    <s v="Yes"/>
    <n v="20"/>
    <n v="10"/>
    <n v="20"/>
  </r>
  <r>
    <n v="3439"/>
    <x v="202"/>
    <x v="1"/>
    <x v="207"/>
    <x v="1"/>
    <n v="5"/>
    <x v="2"/>
    <s v="No"/>
    <s v="-"/>
    <s v="No"/>
    <n v="0"/>
    <n v="1"/>
    <n v="4"/>
  </r>
  <r>
    <n v="3440"/>
    <x v="203"/>
    <x v="0"/>
    <x v="208"/>
    <x v="0"/>
    <n v="15"/>
    <x v="0"/>
    <s v="Yes"/>
    <n v="30"/>
    <s v="Yes"/>
    <n v="20"/>
    <n v="15"/>
    <n v="50"/>
  </r>
  <r>
    <n v="3441"/>
    <x v="204"/>
    <x v="2"/>
    <x v="209"/>
    <x v="1"/>
    <n v="10"/>
    <x v="0"/>
    <s v="No"/>
    <s v="-"/>
    <s v="Yes"/>
    <n v="20"/>
    <n v="5"/>
    <n v="25"/>
  </r>
  <r>
    <n v="3442"/>
    <x v="205"/>
    <x v="1"/>
    <x v="210"/>
    <x v="0"/>
    <n v="5"/>
    <x v="1"/>
    <s v="No"/>
    <s v="-"/>
    <s v="No"/>
    <n v="0"/>
    <n v="0"/>
    <n v="5"/>
  </r>
  <r>
    <n v="3443"/>
    <x v="206"/>
    <x v="0"/>
    <x v="211"/>
    <x v="1"/>
    <n v="15"/>
    <x v="2"/>
    <s v="Yes"/>
    <n v="30"/>
    <s v="Yes"/>
    <n v="20"/>
    <n v="20"/>
    <n v="45"/>
  </r>
  <r>
    <n v="3444"/>
    <x v="207"/>
    <x v="2"/>
    <x v="212"/>
    <x v="0"/>
    <n v="10"/>
    <x v="2"/>
    <s v="No"/>
    <s v="-"/>
    <s v="Yes"/>
    <n v="20"/>
    <n v="12"/>
    <n v="18"/>
  </r>
  <r>
    <n v="3445"/>
    <x v="37"/>
    <x v="1"/>
    <x v="213"/>
    <x v="1"/>
    <n v="5"/>
    <x v="0"/>
    <s v="No"/>
    <s v="-"/>
    <s v="No"/>
    <n v="0"/>
    <n v="2"/>
    <n v="3"/>
  </r>
  <r>
    <n v="3446"/>
    <x v="208"/>
    <x v="0"/>
    <x v="214"/>
    <x v="0"/>
    <n v="15"/>
    <x v="1"/>
    <s v="Yes"/>
    <n v="30"/>
    <s v="Yes"/>
    <n v="20"/>
    <n v="5"/>
    <n v="60"/>
  </r>
  <r>
    <n v="3447"/>
    <x v="209"/>
    <x v="2"/>
    <x v="215"/>
    <x v="1"/>
    <n v="10"/>
    <x v="0"/>
    <s v="No"/>
    <s v="-"/>
    <s v="Yes"/>
    <n v="20"/>
    <n v="10"/>
    <n v="20"/>
  </r>
  <r>
    <n v="3448"/>
    <x v="210"/>
    <x v="1"/>
    <x v="216"/>
    <x v="0"/>
    <n v="5"/>
    <x v="2"/>
    <s v="No"/>
    <s v="-"/>
    <s v="No"/>
    <n v="0"/>
    <n v="0"/>
    <n v="5"/>
  </r>
  <r>
    <n v="3449"/>
    <x v="211"/>
    <x v="0"/>
    <x v="217"/>
    <x v="1"/>
    <n v="15"/>
    <x v="0"/>
    <s v="Yes"/>
    <n v="30"/>
    <s v="Yes"/>
    <n v="20"/>
    <n v="3"/>
    <n v="62"/>
  </r>
  <r>
    <n v="3450"/>
    <x v="212"/>
    <x v="2"/>
    <x v="218"/>
    <x v="0"/>
    <n v="10"/>
    <x v="1"/>
    <s v="No"/>
    <s v="-"/>
    <s v="Yes"/>
    <n v="20"/>
    <n v="15"/>
    <n v="15"/>
  </r>
  <r>
    <n v="3451"/>
    <x v="213"/>
    <x v="1"/>
    <x v="219"/>
    <x v="1"/>
    <n v="5"/>
    <x v="0"/>
    <s v="No"/>
    <s v="-"/>
    <s v="No"/>
    <n v="0"/>
    <n v="1"/>
    <n v="4"/>
  </r>
  <r>
    <n v="3452"/>
    <x v="191"/>
    <x v="0"/>
    <x v="220"/>
    <x v="0"/>
    <n v="15"/>
    <x v="2"/>
    <s v="Yes"/>
    <n v="30"/>
    <s v="Yes"/>
    <n v="20"/>
    <n v="7"/>
    <n v="58"/>
  </r>
  <r>
    <n v="3453"/>
    <x v="45"/>
    <x v="2"/>
    <x v="221"/>
    <x v="1"/>
    <n v="10"/>
    <x v="0"/>
    <s v="No"/>
    <s v="-"/>
    <s v="Yes"/>
    <n v="20"/>
    <n v="10"/>
    <n v="20"/>
  </r>
  <r>
    <n v="3454"/>
    <x v="214"/>
    <x v="1"/>
    <x v="222"/>
    <x v="0"/>
    <n v="5"/>
    <x v="1"/>
    <s v="No"/>
    <s v="-"/>
    <s v="No"/>
    <n v="0"/>
    <n v="0"/>
    <n v="5"/>
  </r>
  <r>
    <n v="3455"/>
    <x v="215"/>
    <x v="0"/>
    <x v="223"/>
    <x v="1"/>
    <n v="15"/>
    <x v="0"/>
    <s v="Yes"/>
    <n v="30"/>
    <s v="Yes"/>
    <n v="20"/>
    <n v="20"/>
    <n v="45"/>
  </r>
  <r>
    <n v="3456"/>
    <x v="216"/>
    <x v="2"/>
    <x v="224"/>
    <x v="0"/>
    <n v="10"/>
    <x v="2"/>
    <s v="No"/>
    <s v="-"/>
    <s v="Yes"/>
    <n v="20"/>
    <n v="15"/>
    <n v="15"/>
  </r>
  <r>
    <n v="3457"/>
    <x v="217"/>
    <x v="1"/>
    <x v="225"/>
    <x v="1"/>
    <n v="5"/>
    <x v="0"/>
    <s v="No"/>
    <s v="-"/>
    <s v="No"/>
    <n v="0"/>
    <n v="1"/>
    <n v="4"/>
  </r>
  <r>
    <n v="3458"/>
    <x v="218"/>
    <x v="0"/>
    <x v="226"/>
    <x v="0"/>
    <n v="15"/>
    <x v="1"/>
    <s v="Yes"/>
    <n v="30"/>
    <s v="Yes"/>
    <n v="20"/>
    <n v="3"/>
    <n v="62"/>
  </r>
  <r>
    <n v="3459"/>
    <x v="219"/>
    <x v="2"/>
    <x v="227"/>
    <x v="1"/>
    <n v="10"/>
    <x v="0"/>
    <s v="No"/>
    <s v="-"/>
    <s v="Yes"/>
    <n v="20"/>
    <n v="10"/>
    <n v="20"/>
  </r>
  <r>
    <n v="3460"/>
    <x v="127"/>
    <x v="1"/>
    <x v="228"/>
    <x v="0"/>
    <n v="5"/>
    <x v="2"/>
    <s v="No"/>
    <s v="-"/>
    <s v="No"/>
    <n v="0"/>
    <n v="0"/>
    <n v="5"/>
  </r>
  <r>
    <n v="3461"/>
    <x v="220"/>
    <x v="0"/>
    <x v="229"/>
    <x v="1"/>
    <n v="15"/>
    <x v="0"/>
    <s v="Yes"/>
    <n v="30"/>
    <s v="Yes"/>
    <n v="20"/>
    <n v="15"/>
    <n v="50"/>
  </r>
  <r>
    <n v="3462"/>
    <x v="221"/>
    <x v="2"/>
    <x v="230"/>
    <x v="0"/>
    <n v="10"/>
    <x v="1"/>
    <s v="No"/>
    <s v="-"/>
    <s v="Yes"/>
    <n v="20"/>
    <n v="15"/>
    <n v="15"/>
  </r>
  <r>
    <n v="3463"/>
    <x v="222"/>
    <x v="1"/>
    <x v="231"/>
    <x v="1"/>
    <n v="5"/>
    <x v="0"/>
    <s v="No"/>
    <s v="-"/>
    <s v="No"/>
    <n v="0"/>
    <n v="1"/>
    <n v="4"/>
  </r>
  <r>
    <n v="3464"/>
    <x v="223"/>
    <x v="0"/>
    <x v="232"/>
    <x v="0"/>
    <n v="15"/>
    <x v="2"/>
    <s v="Yes"/>
    <n v="30"/>
    <s v="Yes"/>
    <n v="20"/>
    <n v="7"/>
    <n v="58"/>
  </r>
  <r>
    <n v="3465"/>
    <x v="224"/>
    <x v="2"/>
    <x v="233"/>
    <x v="1"/>
    <n v="10"/>
    <x v="0"/>
    <s v="No"/>
    <s v="-"/>
    <s v="Yes"/>
    <n v="20"/>
    <n v="10"/>
    <n v="20"/>
  </r>
  <r>
    <n v="3466"/>
    <x v="225"/>
    <x v="1"/>
    <x v="234"/>
    <x v="0"/>
    <n v="5"/>
    <x v="1"/>
    <s v="No"/>
    <s v="-"/>
    <s v="No"/>
    <n v="0"/>
    <n v="0"/>
    <n v="5"/>
  </r>
  <r>
    <n v="3467"/>
    <x v="226"/>
    <x v="0"/>
    <x v="235"/>
    <x v="1"/>
    <n v="15"/>
    <x v="0"/>
    <s v="Yes"/>
    <n v="30"/>
    <s v="Yes"/>
    <n v="20"/>
    <n v="15"/>
    <n v="50"/>
  </r>
  <r>
    <n v="3468"/>
    <x v="227"/>
    <x v="2"/>
    <x v="236"/>
    <x v="0"/>
    <n v="10"/>
    <x v="2"/>
    <s v="No"/>
    <s v="-"/>
    <s v="Yes"/>
    <n v="20"/>
    <n v="12"/>
    <n v="18"/>
  </r>
  <r>
    <n v="3469"/>
    <x v="228"/>
    <x v="1"/>
    <x v="237"/>
    <x v="1"/>
    <n v="5"/>
    <x v="0"/>
    <s v="No"/>
    <s v="-"/>
    <s v="No"/>
    <n v="0"/>
    <n v="2"/>
    <n v="3"/>
  </r>
  <r>
    <n v="3470"/>
    <x v="229"/>
    <x v="0"/>
    <x v="238"/>
    <x v="0"/>
    <n v="15"/>
    <x v="1"/>
    <s v="Yes"/>
    <n v="30"/>
    <s v="Yes"/>
    <n v="20"/>
    <n v="5"/>
    <n v="60"/>
  </r>
  <r>
    <n v="3471"/>
    <x v="230"/>
    <x v="2"/>
    <x v="239"/>
    <x v="1"/>
    <n v="10"/>
    <x v="0"/>
    <s v="No"/>
    <s v="-"/>
    <s v="Yes"/>
    <n v="20"/>
    <n v="10"/>
    <n v="20"/>
  </r>
  <r>
    <n v="3472"/>
    <x v="231"/>
    <x v="1"/>
    <x v="240"/>
    <x v="0"/>
    <n v="5"/>
    <x v="2"/>
    <s v="No"/>
    <s v="-"/>
    <s v="No"/>
    <n v="0"/>
    <n v="0"/>
    <n v="5"/>
  </r>
  <r>
    <n v="3473"/>
    <x v="140"/>
    <x v="0"/>
    <x v="241"/>
    <x v="1"/>
    <n v="15"/>
    <x v="0"/>
    <s v="Yes"/>
    <n v="30"/>
    <s v="Yes"/>
    <n v="20"/>
    <n v="3"/>
    <n v="62"/>
  </r>
  <r>
    <n v="3474"/>
    <x v="232"/>
    <x v="2"/>
    <x v="242"/>
    <x v="0"/>
    <n v="10"/>
    <x v="1"/>
    <s v="No"/>
    <s v="-"/>
    <s v="Yes"/>
    <n v="20"/>
    <n v="15"/>
    <n v="15"/>
  </r>
  <r>
    <n v="3475"/>
    <x v="233"/>
    <x v="1"/>
    <x v="243"/>
    <x v="1"/>
    <n v="5"/>
    <x v="0"/>
    <s v="No"/>
    <s v="-"/>
    <s v="No"/>
    <n v="0"/>
    <n v="1"/>
    <n v="4"/>
  </r>
  <r>
    <n v="3476"/>
    <x v="234"/>
    <x v="0"/>
    <x v="244"/>
    <x v="0"/>
    <n v="15"/>
    <x v="2"/>
    <s v="Yes"/>
    <n v="30"/>
    <s v="Yes"/>
    <n v="20"/>
    <n v="7"/>
    <n v="58"/>
  </r>
  <r>
    <n v="3477"/>
    <x v="235"/>
    <x v="2"/>
    <x v="245"/>
    <x v="1"/>
    <n v="10"/>
    <x v="0"/>
    <s v="No"/>
    <s v="-"/>
    <s v="Yes"/>
    <n v="20"/>
    <n v="10"/>
    <n v="20"/>
  </r>
  <r>
    <n v="3478"/>
    <x v="236"/>
    <x v="1"/>
    <x v="246"/>
    <x v="0"/>
    <n v="5"/>
    <x v="1"/>
    <s v="No"/>
    <s v="-"/>
    <s v="No"/>
    <n v="0"/>
    <n v="0"/>
    <n v="5"/>
  </r>
  <r>
    <n v="3479"/>
    <x v="237"/>
    <x v="0"/>
    <x v="247"/>
    <x v="1"/>
    <n v="15"/>
    <x v="0"/>
    <s v="Yes"/>
    <n v="30"/>
    <s v="Yes"/>
    <n v="20"/>
    <n v="20"/>
    <n v="45"/>
  </r>
  <r>
    <n v="3480"/>
    <x v="238"/>
    <x v="2"/>
    <x v="248"/>
    <x v="0"/>
    <n v="10"/>
    <x v="2"/>
    <s v="No"/>
    <s v="-"/>
    <s v="Yes"/>
    <n v="20"/>
    <n v="15"/>
    <n v="15"/>
  </r>
  <r>
    <n v="3481"/>
    <x v="239"/>
    <x v="1"/>
    <x v="249"/>
    <x v="1"/>
    <n v="5"/>
    <x v="0"/>
    <s v="No"/>
    <s v="-"/>
    <s v="No"/>
    <n v="0"/>
    <n v="1"/>
    <n v="4"/>
  </r>
  <r>
    <n v="3482"/>
    <x v="240"/>
    <x v="0"/>
    <x v="250"/>
    <x v="0"/>
    <n v="15"/>
    <x v="1"/>
    <s v="Yes"/>
    <n v="30"/>
    <s v="Yes"/>
    <n v="20"/>
    <n v="3"/>
    <n v="62"/>
  </r>
  <r>
    <n v="3483"/>
    <x v="241"/>
    <x v="2"/>
    <x v="251"/>
    <x v="1"/>
    <n v="10"/>
    <x v="0"/>
    <s v="No"/>
    <s v="-"/>
    <s v="Yes"/>
    <n v="20"/>
    <n v="10"/>
    <n v="20"/>
  </r>
  <r>
    <n v="3484"/>
    <x v="242"/>
    <x v="1"/>
    <x v="252"/>
    <x v="0"/>
    <n v="5"/>
    <x v="2"/>
    <s v="No"/>
    <s v="-"/>
    <s v="No"/>
    <n v="0"/>
    <n v="0"/>
    <n v="5"/>
  </r>
  <r>
    <n v="3485"/>
    <x v="243"/>
    <x v="0"/>
    <x v="253"/>
    <x v="1"/>
    <n v="15"/>
    <x v="0"/>
    <s v="Yes"/>
    <n v="30"/>
    <s v="Yes"/>
    <n v="20"/>
    <n v="15"/>
    <n v="50"/>
  </r>
  <r>
    <n v="3486"/>
    <x v="244"/>
    <x v="1"/>
    <x v="254"/>
    <x v="0"/>
    <n v="5"/>
    <x v="0"/>
    <s v="No"/>
    <s v="-"/>
    <s v="No"/>
    <n v="0"/>
    <n v="0"/>
    <n v="5"/>
  </r>
  <r>
    <n v="3487"/>
    <x v="245"/>
    <x v="0"/>
    <x v="255"/>
    <x v="1"/>
    <n v="15"/>
    <x v="2"/>
    <s v="Yes"/>
    <n v="30"/>
    <s v="Yes"/>
    <n v="20"/>
    <n v="7"/>
    <n v="58"/>
  </r>
  <r>
    <n v="3488"/>
    <x v="246"/>
    <x v="2"/>
    <x v="256"/>
    <x v="0"/>
    <n v="10"/>
    <x v="1"/>
    <s v="No"/>
    <s v="-"/>
    <s v="Yes"/>
    <n v="20"/>
    <n v="10"/>
    <n v="20"/>
  </r>
  <r>
    <n v="3489"/>
    <x v="247"/>
    <x v="1"/>
    <x v="257"/>
    <x v="1"/>
    <n v="5"/>
    <x v="2"/>
    <s v="No"/>
    <s v="-"/>
    <s v="No"/>
    <n v="0"/>
    <n v="1"/>
    <n v="4"/>
  </r>
  <r>
    <n v="3490"/>
    <x v="248"/>
    <x v="0"/>
    <x v="258"/>
    <x v="0"/>
    <n v="15"/>
    <x v="0"/>
    <s v="Yes"/>
    <n v="30"/>
    <s v="Yes"/>
    <n v="20"/>
    <n v="15"/>
    <n v="50"/>
  </r>
  <r>
    <n v="3491"/>
    <x v="249"/>
    <x v="2"/>
    <x v="259"/>
    <x v="1"/>
    <n v="10"/>
    <x v="0"/>
    <s v="No"/>
    <s v="-"/>
    <s v="Yes"/>
    <n v="20"/>
    <n v="5"/>
    <n v="25"/>
  </r>
  <r>
    <n v="3492"/>
    <x v="250"/>
    <x v="1"/>
    <x v="260"/>
    <x v="0"/>
    <n v="5"/>
    <x v="1"/>
    <s v="No"/>
    <s v="-"/>
    <s v="No"/>
    <n v="0"/>
    <n v="0"/>
    <n v="5"/>
  </r>
  <r>
    <n v="3493"/>
    <x v="251"/>
    <x v="0"/>
    <x v="261"/>
    <x v="1"/>
    <n v="15"/>
    <x v="2"/>
    <s v="Yes"/>
    <n v="30"/>
    <s v="Yes"/>
    <n v="20"/>
    <n v="20"/>
    <n v="45"/>
  </r>
  <r>
    <n v="3494"/>
    <x v="252"/>
    <x v="2"/>
    <x v="262"/>
    <x v="0"/>
    <n v="10"/>
    <x v="2"/>
    <s v="No"/>
    <s v="-"/>
    <s v="Yes"/>
    <n v="20"/>
    <n v="12"/>
    <n v="18"/>
  </r>
  <r>
    <n v="3495"/>
    <x v="253"/>
    <x v="1"/>
    <x v="263"/>
    <x v="1"/>
    <n v="5"/>
    <x v="0"/>
    <s v="No"/>
    <s v="-"/>
    <s v="No"/>
    <n v="0"/>
    <n v="2"/>
    <n v="3"/>
  </r>
  <r>
    <n v="3496"/>
    <x v="254"/>
    <x v="0"/>
    <x v="264"/>
    <x v="0"/>
    <n v="15"/>
    <x v="1"/>
    <s v="Yes"/>
    <n v="30"/>
    <s v="Yes"/>
    <n v="20"/>
    <n v="5"/>
    <n v="60"/>
  </r>
  <r>
    <n v="3497"/>
    <x v="255"/>
    <x v="2"/>
    <x v="265"/>
    <x v="1"/>
    <n v="10"/>
    <x v="0"/>
    <s v="No"/>
    <s v="-"/>
    <s v="Yes"/>
    <n v="20"/>
    <n v="10"/>
    <n v="20"/>
  </r>
  <r>
    <n v="3498"/>
    <x v="256"/>
    <x v="1"/>
    <x v="266"/>
    <x v="0"/>
    <n v="5"/>
    <x v="2"/>
    <s v="No"/>
    <s v="-"/>
    <s v="No"/>
    <n v="0"/>
    <n v="0"/>
    <n v="5"/>
  </r>
  <r>
    <n v="3499"/>
    <x v="257"/>
    <x v="0"/>
    <x v="267"/>
    <x v="1"/>
    <n v="15"/>
    <x v="0"/>
    <s v="Yes"/>
    <n v="30"/>
    <s v="Yes"/>
    <n v="20"/>
    <n v="3"/>
    <n v="62"/>
  </r>
  <r>
    <n v="3500"/>
    <x v="258"/>
    <x v="2"/>
    <x v="268"/>
    <x v="0"/>
    <n v="10"/>
    <x v="1"/>
    <s v="No"/>
    <s v="-"/>
    <s v="Yes"/>
    <n v="20"/>
    <n v="15"/>
    <n v="15"/>
  </r>
  <r>
    <n v="3501"/>
    <x v="259"/>
    <x v="1"/>
    <x v="269"/>
    <x v="1"/>
    <n v="5"/>
    <x v="0"/>
    <s v="No"/>
    <s v="-"/>
    <s v="No"/>
    <n v="0"/>
    <n v="1"/>
    <n v="4"/>
  </r>
  <r>
    <n v="3502"/>
    <x v="260"/>
    <x v="0"/>
    <x v="270"/>
    <x v="0"/>
    <n v="15"/>
    <x v="2"/>
    <s v="Yes"/>
    <n v="30"/>
    <s v="Yes"/>
    <n v="20"/>
    <n v="7"/>
    <n v="58"/>
  </r>
  <r>
    <n v="3503"/>
    <x v="119"/>
    <x v="2"/>
    <x v="271"/>
    <x v="1"/>
    <n v="10"/>
    <x v="0"/>
    <s v="No"/>
    <s v="-"/>
    <s v="Yes"/>
    <n v="20"/>
    <n v="10"/>
    <n v="20"/>
  </r>
  <r>
    <n v="3504"/>
    <x v="261"/>
    <x v="1"/>
    <x v="272"/>
    <x v="0"/>
    <n v="5"/>
    <x v="1"/>
    <s v="No"/>
    <s v="-"/>
    <s v="No"/>
    <n v="0"/>
    <n v="0"/>
    <n v="5"/>
  </r>
  <r>
    <n v="3505"/>
    <x v="262"/>
    <x v="0"/>
    <x v="273"/>
    <x v="1"/>
    <n v="15"/>
    <x v="0"/>
    <s v="Yes"/>
    <n v="30"/>
    <s v="Yes"/>
    <n v="20"/>
    <n v="20"/>
    <n v="45"/>
  </r>
  <r>
    <n v="3506"/>
    <x v="263"/>
    <x v="2"/>
    <x v="274"/>
    <x v="0"/>
    <n v="10"/>
    <x v="2"/>
    <s v="No"/>
    <s v="-"/>
    <s v="Yes"/>
    <n v="20"/>
    <n v="15"/>
    <n v="15"/>
  </r>
  <r>
    <n v="3507"/>
    <x v="264"/>
    <x v="1"/>
    <x v="275"/>
    <x v="1"/>
    <n v="5"/>
    <x v="0"/>
    <s v="No"/>
    <s v="-"/>
    <s v="No"/>
    <n v="0"/>
    <n v="1"/>
    <n v="4"/>
  </r>
  <r>
    <n v="3508"/>
    <x v="265"/>
    <x v="0"/>
    <x v="276"/>
    <x v="0"/>
    <n v="15"/>
    <x v="1"/>
    <s v="Yes"/>
    <n v="30"/>
    <s v="Yes"/>
    <n v="20"/>
    <n v="3"/>
    <n v="62"/>
  </r>
  <r>
    <n v="3509"/>
    <x v="266"/>
    <x v="2"/>
    <x v="277"/>
    <x v="1"/>
    <n v="10"/>
    <x v="0"/>
    <s v="No"/>
    <s v="-"/>
    <s v="Yes"/>
    <n v="20"/>
    <n v="10"/>
    <n v="20"/>
  </r>
  <r>
    <n v="3510"/>
    <x v="267"/>
    <x v="1"/>
    <x v="278"/>
    <x v="0"/>
    <n v="5"/>
    <x v="2"/>
    <s v="No"/>
    <s v="-"/>
    <s v="No"/>
    <n v="0"/>
    <n v="0"/>
    <n v="5"/>
  </r>
  <r>
    <n v="3511"/>
    <x v="268"/>
    <x v="0"/>
    <x v="279"/>
    <x v="1"/>
    <n v="15"/>
    <x v="0"/>
    <s v="Yes"/>
    <n v="30"/>
    <s v="Yes"/>
    <n v="20"/>
    <n v="15"/>
    <n v="50"/>
  </r>
  <r>
    <n v="3512"/>
    <x v="269"/>
    <x v="2"/>
    <x v="280"/>
    <x v="0"/>
    <n v="10"/>
    <x v="1"/>
    <s v="No"/>
    <s v="-"/>
    <s v="Yes"/>
    <n v="20"/>
    <n v="15"/>
    <n v="15"/>
  </r>
  <r>
    <n v="3513"/>
    <x v="270"/>
    <x v="1"/>
    <x v="281"/>
    <x v="1"/>
    <n v="5"/>
    <x v="0"/>
    <s v="No"/>
    <s v="-"/>
    <s v="No"/>
    <n v="0"/>
    <n v="1"/>
    <n v="4"/>
  </r>
  <r>
    <n v="3514"/>
    <x v="271"/>
    <x v="0"/>
    <x v="282"/>
    <x v="0"/>
    <n v="15"/>
    <x v="2"/>
    <s v="Yes"/>
    <n v="30"/>
    <s v="Yes"/>
    <n v="20"/>
    <n v="7"/>
    <n v="58"/>
  </r>
  <r>
    <n v="3515"/>
    <x v="130"/>
    <x v="2"/>
    <x v="283"/>
    <x v="1"/>
    <n v="10"/>
    <x v="0"/>
    <s v="No"/>
    <s v="-"/>
    <s v="Yes"/>
    <n v="20"/>
    <n v="10"/>
    <n v="20"/>
  </r>
  <r>
    <n v="3516"/>
    <x v="131"/>
    <x v="1"/>
    <x v="284"/>
    <x v="0"/>
    <n v="5"/>
    <x v="1"/>
    <s v="No"/>
    <s v="-"/>
    <s v="No"/>
    <n v="0"/>
    <n v="0"/>
    <n v="5"/>
  </r>
  <r>
    <n v="3517"/>
    <x v="181"/>
    <x v="0"/>
    <x v="285"/>
    <x v="1"/>
    <n v="15"/>
    <x v="0"/>
    <s v="Yes"/>
    <n v="30"/>
    <s v="Yes"/>
    <n v="20"/>
    <n v="20"/>
    <n v="45"/>
  </r>
  <r>
    <n v="3518"/>
    <x v="272"/>
    <x v="2"/>
    <x v="286"/>
    <x v="0"/>
    <n v="10"/>
    <x v="2"/>
    <s v="No"/>
    <s v="-"/>
    <s v="Yes"/>
    <n v="20"/>
    <n v="12"/>
    <n v="18"/>
  </r>
  <r>
    <n v="3519"/>
    <x v="273"/>
    <x v="1"/>
    <x v="287"/>
    <x v="1"/>
    <n v="5"/>
    <x v="0"/>
    <s v="No"/>
    <s v="-"/>
    <s v="No"/>
    <n v="0"/>
    <n v="2"/>
    <n v="3"/>
  </r>
  <r>
    <n v="3520"/>
    <x v="274"/>
    <x v="0"/>
    <x v="288"/>
    <x v="0"/>
    <n v="15"/>
    <x v="1"/>
    <s v="Yes"/>
    <n v="30"/>
    <s v="Yes"/>
    <n v="20"/>
    <n v="5"/>
    <n v="60"/>
  </r>
  <r>
    <n v="3521"/>
    <x v="275"/>
    <x v="2"/>
    <x v="289"/>
    <x v="1"/>
    <n v="10"/>
    <x v="0"/>
    <s v="No"/>
    <s v="-"/>
    <s v="Yes"/>
    <n v="20"/>
    <n v="10"/>
    <n v="20"/>
  </r>
  <r>
    <n v="3522"/>
    <x v="276"/>
    <x v="1"/>
    <x v="290"/>
    <x v="0"/>
    <n v="5"/>
    <x v="2"/>
    <s v="No"/>
    <s v="-"/>
    <s v="No"/>
    <n v="0"/>
    <n v="0"/>
    <n v="5"/>
  </r>
  <r>
    <n v="3523"/>
    <x v="277"/>
    <x v="0"/>
    <x v="291"/>
    <x v="1"/>
    <n v="15"/>
    <x v="0"/>
    <s v="Yes"/>
    <n v="30"/>
    <s v="Yes"/>
    <n v="20"/>
    <n v="3"/>
    <n v="62"/>
  </r>
  <r>
    <n v="3524"/>
    <x v="278"/>
    <x v="2"/>
    <x v="292"/>
    <x v="0"/>
    <n v="10"/>
    <x v="1"/>
    <s v="No"/>
    <s v="-"/>
    <s v="Yes"/>
    <n v="20"/>
    <n v="15"/>
    <n v="15"/>
  </r>
  <r>
    <n v="3525"/>
    <x v="279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54537-8C9F-4482-A4E2-FAE992E59F57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9:C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5389F-4559-4804-AE4C-D392EFEFE7E0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00CF9D-B8E0-4DBB-A0A1-B293322F6C94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2C770D4-3902-489D-9277-9680A45D0361}" sourceName="Subscription Type">
  <pivotTables>
    <pivotTable tabId="3" name="tbl_annual_total"/>
    <pivotTable tabId="3" name="tbl_easeasonpass_total"/>
    <pivotTable tabId="3" name="Tabela dinâmica3"/>
  </pivotTables>
  <data>
    <tabular pivotCacheId="104119247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C741261-54B3-491C-844C-F6743257C72D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C29" sqref="C2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C29" sqref="C2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D33"/>
  <sheetViews>
    <sheetView showGridLines="0" workbookViewId="0">
      <selection activeCell="C29" sqref="C29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s="12" t="s">
        <v>16</v>
      </c>
      <c r="C6" t="s">
        <v>27</v>
      </c>
    </row>
    <row r="8" spans="2:3" x14ac:dyDescent="0.25">
      <c r="B8" s="12" t="s">
        <v>313</v>
      </c>
      <c r="C8" t="s">
        <v>315</v>
      </c>
    </row>
    <row r="9" spans="2:3" x14ac:dyDescent="0.25">
      <c r="B9" s="13" t="s">
        <v>23</v>
      </c>
      <c r="C9" s="14">
        <v>806</v>
      </c>
    </row>
    <row r="10" spans="2:3" x14ac:dyDescent="0.25">
      <c r="B10" s="13" t="s">
        <v>19</v>
      </c>
      <c r="C10" s="14">
        <v>1502</v>
      </c>
    </row>
    <row r="11" spans="2:3" x14ac:dyDescent="0.25">
      <c r="B11" s="13" t="s">
        <v>314</v>
      </c>
      <c r="C11" s="14">
        <v>2308</v>
      </c>
    </row>
    <row r="14" spans="2:3" x14ac:dyDescent="0.25">
      <c r="B14" s="17" t="s">
        <v>318</v>
      </c>
      <c r="C14" s="17"/>
    </row>
    <row r="16" spans="2:3" x14ac:dyDescent="0.25">
      <c r="B16" s="12" t="s">
        <v>16</v>
      </c>
      <c r="C16" t="s">
        <v>27</v>
      </c>
    </row>
    <row r="18" spans="2:4" x14ac:dyDescent="0.25">
      <c r="B18" s="12" t="s">
        <v>313</v>
      </c>
      <c r="C18" t="s">
        <v>317</v>
      </c>
    </row>
    <row r="19" spans="2:4" x14ac:dyDescent="0.25">
      <c r="B19" s="13" t="s">
        <v>22</v>
      </c>
      <c r="C19" s="15">
        <v>0</v>
      </c>
    </row>
    <row r="20" spans="2:4" x14ac:dyDescent="0.25">
      <c r="B20" s="13" t="s">
        <v>26</v>
      </c>
      <c r="C20" s="15">
        <v>0</v>
      </c>
    </row>
    <row r="21" spans="2:4" x14ac:dyDescent="0.25">
      <c r="B21" s="13" t="s">
        <v>18</v>
      </c>
      <c r="C21" s="15">
        <v>990</v>
      </c>
    </row>
    <row r="22" spans="2:4" x14ac:dyDescent="0.25">
      <c r="B22" s="13" t="s">
        <v>314</v>
      </c>
      <c r="C22" s="15">
        <v>990</v>
      </c>
      <c r="D22" s="16">
        <f>GETPIVOTDATA("EA Play Season Pass
Price",$B$18)</f>
        <v>990</v>
      </c>
    </row>
    <row r="25" spans="2:4" x14ac:dyDescent="0.25">
      <c r="B25" s="17" t="s">
        <v>319</v>
      </c>
      <c r="C25" s="17"/>
    </row>
    <row r="27" spans="2:4" x14ac:dyDescent="0.25">
      <c r="B27" s="12" t="s">
        <v>16</v>
      </c>
      <c r="C27" t="s">
        <v>27</v>
      </c>
    </row>
    <row r="29" spans="2:4" x14ac:dyDescent="0.25">
      <c r="B29" s="12" t="s">
        <v>313</v>
      </c>
      <c r="C29" t="s">
        <v>316</v>
      </c>
    </row>
    <row r="30" spans="2:4" x14ac:dyDescent="0.25">
      <c r="B30" s="13" t="s">
        <v>22</v>
      </c>
      <c r="C30" s="14">
        <v>0</v>
      </c>
    </row>
    <row r="31" spans="2:4" x14ac:dyDescent="0.25">
      <c r="B31" s="13" t="s">
        <v>26</v>
      </c>
      <c r="C31" s="14">
        <v>480</v>
      </c>
    </row>
    <row r="32" spans="2:4" x14ac:dyDescent="0.25">
      <c r="B32" s="13" t="s">
        <v>18</v>
      </c>
      <c r="C32" s="14">
        <v>660</v>
      </c>
    </row>
    <row r="33" spans="2:4" x14ac:dyDescent="0.25">
      <c r="B33" s="13" t="s">
        <v>314</v>
      </c>
      <c r="C33" s="14">
        <v>1140</v>
      </c>
      <c r="D33" s="16">
        <f>GETPIVOTDATA("Minecraft Season Pass Price",$B$29)</f>
        <v>1140</v>
      </c>
    </row>
  </sheetData>
  <mergeCells count="2">
    <mergeCell ref="B14:C14"/>
    <mergeCell ref="B25:C25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271"/>
  <sheetViews>
    <sheetView showGridLines="0" showRowColHeaders="0" tabSelected="1" zoomScale="80" zoomScaleNormal="80" workbookViewId="0">
      <selection activeCell="K44" sqref="K44"/>
    </sheetView>
  </sheetViews>
  <sheetFormatPr defaultRowHeight="15" x14ac:dyDescent="0.25"/>
  <cols>
    <col min="1" max="1" width="27.140625" style="5" customWidth="1"/>
    <col min="2" max="2" width="3.5703125" customWidth="1"/>
    <col min="12" max="12" width="6.5703125" customWidth="1"/>
  </cols>
  <sheetData>
    <row r="2" spans="1:20" ht="39" customHeight="1" thickBot="1" x14ac:dyDescent="0.5">
      <c r="C2" s="18" t="s">
        <v>320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  <c r="S2" s="19"/>
      <c r="T2" s="19"/>
    </row>
    <row r="3" spans="1:20" ht="39" customHeight="1" thickTop="1" x14ac:dyDescent="0.25"/>
    <row r="4" spans="1:20" s="7" customFormat="1" ht="8.25" customHeight="1" x14ac:dyDescent="0.25">
      <c r="A4" s="5"/>
    </row>
    <row r="5" spans="1:20" s="7" customFormat="1" ht="7.5" customHeight="1" x14ac:dyDescent="0.25">
      <c r="A5" s="5"/>
    </row>
    <row r="6" spans="1:20" s="7" customFormat="1" ht="10.5" customHeight="1" x14ac:dyDescent="0.25">
      <c r="A6" s="5"/>
    </row>
    <row r="7" spans="1:20" s="7" customFormat="1" ht="9.75" customHeight="1" x14ac:dyDescent="0.25">
      <c r="A7" s="5"/>
    </row>
    <row r="8" spans="1:20" s="7" customFormat="1" ht="33" customHeight="1" x14ac:dyDescent="0.25">
      <c r="A8" s="5"/>
    </row>
    <row r="9" spans="1:20" s="7" customFormat="1" x14ac:dyDescent="0.25">
      <c r="A9" s="5"/>
    </row>
    <row r="10" spans="1:20" s="7" customFormat="1" x14ac:dyDescent="0.25">
      <c r="A10" s="5"/>
    </row>
    <row r="11" spans="1:20" s="7" customFormat="1" x14ac:dyDescent="0.25">
      <c r="A11" s="5"/>
    </row>
    <row r="12" spans="1:20" s="7" customFormat="1" x14ac:dyDescent="0.25">
      <c r="A12" s="5"/>
    </row>
    <row r="13" spans="1:20" s="7" customFormat="1" x14ac:dyDescent="0.25">
      <c r="A13" s="5"/>
    </row>
    <row r="14" spans="1:20" s="7" customFormat="1" x14ac:dyDescent="0.25">
      <c r="A14" s="5"/>
    </row>
    <row r="15" spans="1:20" s="7" customFormat="1" x14ac:dyDescent="0.25">
      <c r="A15" s="5"/>
    </row>
    <row r="16" spans="1:20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5"/>
    </row>
    <row r="24" spans="1:1" s="7" customFormat="1" x14ac:dyDescent="0.25">
      <c r="A24" s="5"/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x14ac:dyDescent="0.25">
      <c r="A38" s="5"/>
    </row>
    <row r="39" spans="1:1" s="7" customFormat="1" x14ac:dyDescent="0.25">
      <c r="A39" s="5"/>
    </row>
    <row r="40" spans="1:1" s="7" customFormat="1" x14ac:dyDescent="0.25">
      <c r="A40" s="5"/>
    </row>
    <row r="41" spans="1:1" s="7" customFormat="1" x14ac:dyDescent="0.25">
      <c r="A41" s="5"/>
    </row>
    <row r="42" spans="1:1" s="7" customFormat="1" x14ac:dyDescent="0.25">
      <c r="A42" s="5"/>
    </row>
    <row r="43" spans="1:1" s="7" customFormat="1" x14ac:dyDescent="0.25">
      <c r="A43" s="5"/>
    </row>
    <row r="44" spans="1:1" s="7" customFormat="1" x14ac:dyDescent="0.25">
      <c r="A44" s="5"/>
    </row>
    <row r="45" spans="1:1" s="7" customFormat="1" x14ac:dyDescent="0.25">
      <c r="A45" s="5"/>
    </row>
    <row r="46" spans="1:1" s="7" customFormat="1" x14ac:dyDescent="0.25">
      <c r="A46" s="5"/>
    </row>
    <row r="47" spans="1:1" s="7" customFormat="1" x14ac:dyDescent="0.25">
      <c r="A47" s="5"/>
    </row>
    <row r="48" spans="1:1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  <row r="52" spans="1:1" s="7" customFormat="1" x14ac:dyDescent="0.25">
      <c r="A52" s="5"/>
    </row>
    <row r="53" spans="1:1" s="7" customFormat="1" x14ac:dyDescent="0.25">
      <c r="A53" s="5"/>
    </row>
    <row r="54" spans="1:1" s="7" customFormat="1" x14ac:dyDescent="0.25">
      <c r="A54" s="5"/>
    </row>
    <row r="55" spans="1:1" s="7" customFormat="1" x14ac:dyDescent="0.25">
      <c r="A55" s="5"/>
    </row>
    <row r="56" spans="1:1" s="7" customFormat="1" x14ac:dyDescent="0.25">
      <c r="A56" s="5"/>
    </row>
    <row r="57" spans="1:1" s="7" customFormat="1" x14ac:dyDescent="0.25">
      <c r="A57" s="5"/>
    </row>
    <row r="58" spans="1:1" s="7" customFormat="1" x14ac:dyDescent="0.25">
      <c r="A58" s="5"/>
    </row>
    <row r="59" spans="1:1" s="7" customFormat="1" x14ac:dyDescent="0.25">
      <c r="A59" s="5"/>
    </row>
    <row r="60" spans="1:1" s="7" customFormat="1" x14ac:dyDescent="0.25">
      <c r="A60" s="5"/>
    </row>
    <row r="61" spans="1:1" s="7" customFormat="1" x14ac:dyDescent="0.25">
      <c r="A61" s="5"/>
    </row>
    <row r="62" spans="1:1" s="7" customFormat="1" x14ac:dyDescent="0.25">
      <c r="A62" s="5"/>
    </row>
    <row r="63" spans="1:1" s="7" customFormat="1" x14ac:dyDescent="0.25">
      <c r="A63" s="5"/>
    </row>
    <row r="64" spans="1:1" s="7" customFormat="1" x14ac:dyDescent="0.25">
      <c r="A64" s="5"/>
    </row>
    <row r="65" spans="1:1" s="7" customFormat="1" x14ac:dyDescent="0.25">
      <c r="A65" s="5"/>
    </row>
    <row r="66" spans="1:1" s="7" customFormat="1" x14ac:dyDescent="0.25">
      <c r="A66" s="5"/>
    </row>
    <row r="67" spans="1:1" s="7" customFormat="1" x14ac:dyDescent="0.25">
      <c r="A67" s="5"/>
    </row>
    <row r="68" spans="1:1" s="7" customFormat="1" x14ac:dyDescent="0.25">
      <c r="A68" s="5"/>
    </row>
    <row r="69" spans="1:1" s="7" customFormat="1" x14ac:dyDescent="0.25">
      <c r="A69" s="5"/>
    </row>
    <row r="70" spans="1:1" s="7" customFormat="1" x14ac:dyDescent="0.25">
      <c r="A70" s="5"/>
    </row>
    <row r="71" spans="1:1" s="7" customFormat="1" x14ac:dyDescent="0.25">
      <c r="A71" s="5"/>
    </row>
    <row r="72" spans="1:1" s="7" customFormat="1" x14ac:dyDescent="0.25">
      <c r="A72" s="5"/>
    </row>
    <row r="73" spans="1:1" s="7" customFormat="1" x14ac:dyDescent="0.25">
      <c r="A73" s="5"/>
    </row>
    <row r="74" spans="1:1" s="7" customFormat="1" x14ac:dyDescent="0.25">
      <c r="A74" s="5"/>
    </row>
    <row r="75" spans="1:1" s="7" customFormat="1" x14ac:dyDescent="0.25">
      <c r="A75" s="5"/>
    </row>
    <row r="76" spans="1:1" s="7" customFormat="1" x14ac:dyDescent="0.25">
      <c r="A76" s="5"/>
    </row>
    <row r="77" spans="1:1" s="7" customFormat="1" x14ac:dyDescent="0.25">
      <c r="A77" s="5"/>
    </row>
    <row r="78" spans="1:1" s="7" customFormat="1" x14ac:dyDescent="0.25">
      <c r="A78" s="5"/>
    </row>
    <row r="79" spans="1:1" s="7" customFormat="1" x14ac:dyDescent="0.25">
      <c r="A79" s="5"/>
    </row>
    <row r="80" spans="1:1" s="7" customFormat="1" x14ac:dyDescent="0.25">
      <c r="A80" s="5"/>
    </row>
    <row r="81" spans="1:1" s="7" customFormat="1" x14ac:dyDescent="0.25">
      <c r="A81" s="5"/>
    </row>
    <row r="82" spans="1:1" s="7" customFormat="1" x14ac:dyDescent="0.25">
      <c r="A82" s="5"/>
    </row>
    <row r="83" spans="1:1" s="7" customFormat="1" x14ac:dyDescent="0.25">
      <c r="A83" s="5"/>
    </row>
    <row r="84" spans="1:1" s="7" customFormat="1" x14ac:dyDescent="0.25">
      <c r="A84" s="5"/>
    </row>
    <row r="85" spans="1:1" s="7" customFormat="1" x14ac:dyDescent="0.25">
      <c r="A85" s="5"/>
    </row>
    <row r="86" spans="1:1" s="7" customFormat="1" x14ac:dyDescent="0.25">
      <c r="A86" s="5"/>
    </row>
    <row r="87" spans="1:1" s="7" customFormat="1" x14ac:dyDescent="0.25">
      <c r="A87" s="5"/>
    </row>
    <row r="88" spans="1:1" s="7" customFormat="1" x14ac:dyDescent="0.25">
      <c r="A88" s="5"/>
    </row>
    <row r="89" spans="1:1" s="7" customFormat="1" x14ac:dyDescent="0.25">
      <c r="A89" s="5"/>
    </row>
    <row r="90" spans="1:1" s="7" customFormat="1" x14ac:dyDescent="0.25">
      <c r="A90" s="5"/>
    </row>
    <row r="91" spans="1:1" s="7" customFormat="1" x14ac:dyDescent="0.25">
      <c r="A91" s="5"/>
    </row>
    <row r="92" spans="1:1" s="7" customFormat="1" x14ac:dyDescent="0.25">
      <c r="A92" s="5"/>
    </row>
    <row r="93" spans="1:1" s="7" customFormat="1" x14ac:dyDescent="0.25">
      <c r="A93" s="5"/>
    </row>
    <row r="94" spans="1:1" s="7" customFormat="1" x14ac:dyDescent="0.25">
      <c r="A94" s="5"/>
    </row>
    <row r="95" spans="1:1" s="7" customFormat="1" x14ac:dyDescent="0.25">
      <c r="A95" s="5"/>
    </row>
    <row r="96" spans="1:1" s="7" customFormat="1" x14ac:dyDescent="0.25">
      <c r="A96" s="5"/>
    </row>
    <row r="97" spans="1:1" s="7" customFormat="1" x14ac:dyDescent="0.25">
      <c r="A97" s="5"/>
    </row>
    <row r="98" spans="1:1" s="7" customFormat="1" x14ac:dyDescent="0.25">
      <c r="A98" s="5"/>
    </row>
    <row r="99" spans="1:1" s="7" customFormat="1" x14ac:dyDescent="0.25">
      <c r="A99" s="5"/>
    </row>
    <row r="100" spans="1:1" s="7" customFormat="1" x14ac:dyDescent="0.25">
      <c r="A100" s="5"/>
    </row>
    <row r="101" spans="1:1" s="7" customFormat="1" x14ac:dyDescent="0.25">
      <c r="A101" s="5"/>
    </row>
    <row r="102" spans="1:1" s="7" customFormat="1" x14ac:dyDescent="0.25">
      <c r="A102" s="5"/>
    </row>
    <row r="103" spans="1:1" s="7" customFormat="1" x14ac:dyDescent="0.25">
      <c r="A103" s="5"/>
    </row>
    <row r="104" spans="1:1" s="7" customFormat="1" x14ac:dyDescent="0.25">
      <c r="A104" s="5"/>
    </row>
    <row r="105" spans="1:1" s="7" customFormat="1" x14ac:dyDescent="0.25">
      <c r="A105" s="5"/>
    </row>
    <row r="106" spans="1:1" s="7" customFormat="1" x14ac:dyDescent="0.25">
      <c r="A106" s="5"/>
    </row>
    <row r="107" spans="1:1" s="7" customFormat="1" x14ac:dyDescent="0.25">
      <c r="A107" s="5"/>
    </row>
    <row r="108" spans="1:1" s="7" customFormat="1" x14ac:dyDescent="0.25">
      <c r="A108" s="5"/>
    </row>
    <row r="109" spans="1:1" s="7" customFormat="1" x14ac:dyDescent="0.25">
      <c r="A109" s="5"/>
    </row>
    <row r="110" spans="1:1" s="7" customFormat="1" x14ac:dyDescent="0.25">
      <c r="A110" s="5"/>
    </row>
    <row r="111" spans="1:1" s="7" customFormat="1" x14ac:dyDescent="0.25">
      <c r="A111" s="5"/>
    </row>
    <row r="112" spans="1:1" s="7" customFormat="1" x14ac:dyDescent="0.25">
      <c r="A112" s="5"/>
    </row>
    <row r="113" spans="1:1" s="7" customFormat="1" x14ac:dyDescent="0.25">
      <c r="A113" s="5"/>
    </row>
    <row r="114" spans="1:1" s="7" customFormat="1" x14ac:dyDescent="0.25">
      <c r="A114" s="5"/>
    </row>
    <row r="115" spans="1:1" s="7" customFormat="1" x14ac:dyDescent="0.25">
      <c r="A115" s="5"/>
    </row>
    <row r="116" spans="1:1" s="7" customFormat="1" x14ac:dyDescent="0.25">
      <c r="A116" s="5"/>
    </row>
    <row r="117" spans="1:1" s="7" customFormat="1" x14ac:dyDescent="0.25">
      <c r="A117" s="5"/>
    </row>
    <row r="118" spans="1:1" s="7" customFormat="1" x14ac:dyDescent="0.25">
      <c r="A118" s="5"/>
    </row>
    <row r="119" spans="1:1" s="7" customFormat="1" x14ac:dyDescent="0.25">
      <c r="A119" s="5"/>
    </row>
    <row r="120" spans="1:1" s="7" customFormat="1" x14ac:dyDescent="0.25">
      <c r="A120" s="5"/>
    </row>
    <row r="121" spans="1:1" s="7" customFormat="1" x14ac:dyDescent="0.25">
      <c r="A121" s="5"/>
    </row>
    <row r="122" spans="1:1" s="7" customFormat="1" x14ac:dyDescent="0.25">
      <c r="A122" s="5"/>
    </row>
    <row r="123" spans="1:1" s="7" customFormat="1" x14ac:dyDescent="0.25">
      <c r="A123" s="5"/>
    </row>
    <row r="124" spans="1:1" s="7" customFormat="1" x14ac:dyDescent="0.25">
      <c r="A124" s="5"/>
    </row>
    <row r="125" spans="1:1" s="7" customFormat="1" x14ac:dyDescent="0.25">
      <c r="A125" s="5"/>
    </row>
    <row r="126" spans="1:1" s="7" customFormat="1" x14ac:dyDescent="0.25">
      <c r="A126" s="5"/>
    </row>
    <row r="127" spans="1:1" s="7" customFormat="1" x14ac:dyDescent="0.25">
      <c r="A127" s="5"/>
    </row>
    <row r="128" spans="1:1" s="7" customFormat="1" x14ac:dyDescent="0.25">
      <c r="A128" s="5"/>
    </row>
    <row r="129" spans="1:1" s="7" customFormat="1" x14ac:dyDescent="0.25">
      <c r="A129" s="5"/>
    </row>
    <row r="130" spans="1:1" s="7" customFormat="1" x14ac:dyDescent="0.25">
      <c r="A130" s="5"/>
    </row>
    <row r="131" spans="1:1" s="7" customFormat="1" x14ac:dyDescent="0.25">
      <c r="A131" s="5"/>
    </row>
    <row r="132" spans="1:1" s="7" customFormat="1" x14ac:dyDescent="0.25">
      <c r="A132" s="5"/>
    </row>
    <row r="133" spans="1:1" s="7" customFormat="1" x14ac:dyDescent="0.25">
      <c r="A133" s="5"/>
    </row>
    <row r="134" spans="1:1" s="7" customFormat="1" x14ac:dyDescent="0.25">
      <c r="A134" s="5"/>
    </row>
    <row r="135" spans="1:1" s="7" customFormat="1" x14ac:dyDescent="0.25">
      <c r="A135" s="5"/>
    </row>
    <row r="136" spans="1:1" s="7" customFormat="1" x14ac:dyDescent="0.25">
      <c r="A136" s="5"/>
    </row>
    <row r="137" spans="1:1" s="7" customFormat="1" x14ac:dyDescent="0.25">
      <c r="A137" s="5"/>
    </row>
    <row r="138" spans="1:1" s="7" customFormat="1" x14ac:dyDescent="0.25">
      <c r="A138" s="5"/>
    </row>
    <row r="139" spans="1:1" s="7" customFormat="1" x14ac:dyDescent="0.25">
      <c r="A139" s="5"/>
    </row>
    <row r="140" spans="1:1" s="7" customFormat="1" x14ac:dyDescent="0.25">
      <c r="A140" s="5"/>
    </row>
    <row r="141" spans="1:1" s="7" customFormat="1" x14ac:dyDescent="0.25">
      <c r="A141" s="5"/>
    </row>
    <row r="142" spans="1:1" s="7" customFormat="1" x14ac:dyDescent="0.25">
      <c r="A142" s="5"/>
    </row>
    <row r="143" spans="1:1" s="7" customFormat="1" x14ac:dyDescent="0.25">
      <c r="A143" s="5"/>
    </row>
    <row r="144" spans="1:1" s="7" customFormat="1" x14ac:dyDescent="0.25">
      <c r="A144" s="5"/>
    </row>
    <row r="145" spans="1:1" s="7" customFormat="1" x14ac:dyDescent="0.25">
      <c r="A145" s="5"/>
    </row>
    <row r="146" spans="1:1" s="7" customFormat="1" x14ac:dyDescent="0.25">
      <c r="A146" s="5"/>
    </row>
    <row r="147" spans="1:1" s="7" customFormat="1" x14ac:dyDescent="0.25">
      <c r="A147" s="5"/>
    </row>
    <row r="148" spans="1:1" s="7" customFormat="1" x14ac:dyDescent="0.25">
      <c r="A148" s="5"/>
    </row>
    <row r="149" spans="1:1" s="7" customFormat="1" x14ac:dyDescent="0.25">
      <c r="A149" s="5"/>
    </row>
    <row r="150" spans="1:1" s="7" customFormat="1" x14ac:dyDescent="0.25">
      <c r="A150" s="5"/>
    </row>
    <row r="151" spans="1:1" s="7" customFormat="1" x14ac:dyDescent="0.25">
      <c r="A151" s="5"/>
    </row>
    <row r="152" spans="1:1" s="7" customFormat="1" x14ac:dyDescent="0.25">
      <c r="A152" s="5"/>
    </row>
    <row r="153" spans="1:1" s="7" customFormat="1" x14ac:dyDescent="0.25">
      <c r="A153" s="5"/>
    </row>
    <row r="154" spans="1:1" s="7" customFormat="1" x14ac:dyDescent="0.25">
      <c r="A154" s="5"/>
    </row>
    <row r="155" spans="1:1" s="7" customFormat="1" x14ac:dyDescent="0.25">
      <c r="A155" s="5"/>
    </row>
    <row r="156" spans="1:1" s="7" customFormat="1" x14ac:dyDescent="0.25">
      <c r="A156" s="5"/>
    </row>
    <row r="157" spans="1:1" s="7" customFormat="1" x14ac:dyDescent="0.25">
      <c r="A157" s="5"/>
    </row>
    <row r="158" spans="1:1" s="7" customFormat="1" x14ac:dyDescent="0.25">
      <c r="A158" s="5"/>
    </row>
    <row r="159" spans="1:1" s="7" customFormat="1" x14ac:dyDescent="0.25">
      <c r="A159" s="5"/>
    </row>
    <row r="160" spans="1:1" s="7" customFormat="1" x14ac:dyDescent="0.25">
      <c r="A160" s="5"/>
    </row>
    <row r="161" spans="1:1" s="7" customFormat="1" x14ac:dyDescent="0.25">
      <c r="A161" s="5"/>
    </row>
    <row r="162" spans="1:1" s="7" customFormat="1" x14ac:dyDescent="0.25">
      <c r="A162" s="5"/>
    </row>
    <row r="163" spans="1:1" s="7" customFormat="1" x14ac:dyDescent="0.25">
      <c r="A163" s="5"/>
    </row>
    <row r="164" spans="1:1" s="7" customFormat="1" x14ac:dyDescent="0.25">
      <c r="A164" s="5"/>
    </row>
    <row r="165" spans="1:1" s="7" customFormat="1" x14ac:dyDescent="0.25">
      <c r="A165" s="5"/>
    </row>
    <row r="166" spans="1:1" s="7" customFormat="1" x14ac:dyDescent="0.25">
      <c r="A166" s="5"/>
    </row>
    <row r="167" spans="1:1" s="7" customFormat="1" x14ac:dyDescent="0.25">
      <c r="A167" s="5"/>
    </row>
    <row r="168" spans="1:1" s="7" customFormat="1" x14ac:dyDescent="0.25">
      <c r="A168" s="5"/>
    </row>
    <row r="169" spans="1:1" s="7" customFormat="1" x14ac:dyDescent="0.25">
      <c r="A169" s="5"/>
    </row>
    <row r="170" spans="1:1" s="7" customFormat="1" x14ac:dyDescent="0.25">
      <c r="A170" s="5"/>
    </row>
    <row r="171" spans="1:1" s="7" customFormat="1" x14ac:dyDescent="0.25">
      <c r="A171" s="5"/>
    </row>
    <row r="172" spans="1:1" s="7" customFormat="1" x14ac:dyDescent="0.25">
      <c r="A172" s="5"/>
    </row>
    <row r="173" spans="1:1" s="7" customFormat="1" x14ac:dyDescent="0.25">
      <c r="A173" s="5"/>
    </row>
    <row r="174" spans="1:1" s="7" customFormat="1" x14ac:dyDescent="0.25">
      <c r="A174" s="5"/>
    </row>
    <row r="175" spans="1:1" s="7" customFormat="1" x14ac:dyDescent="0.25">
      <c r="A175" s="5"/>
    </row>
    <row r="176" spans="1:1" s="7" customFormat="1" x14ac:dyDescent="0.25">
      <c r="A176" s="5"/>
    </row>
    <row r="177" spans="1:1" s="7" customFormat="1" x14ac:dyDescent="0.25">
      <c r="A177" s="5"/>
    </row>
    <row r="178" spans="1:1" s="7" customFormat="1" x14ac:dyDescent="0.25">
      <c r="A178" s="5"/>
    </row>
    <row r="179" spans="1:1" s="7" customFormat="1" x14ac:dyDescent="0.25">
      <c r="A179" s="5"/>
    </row>
    <row r="180" spans="1:1" s="7" customFormat="1" x14ac:dyDescent="0.25">
      <c r="A180" s="5"/>
    </row>
    <row r="181" spans="1:1" s="7" customFormat="1" x14ac:dyDescent="0.25">
      <c r="A181" s="5"/>
    </row>
    <row r="182" spans="1:1" s="7" customFormat="1" x14ac:dyDescent="0.25">
      <c r="A182" s="5"/>
    </row>
    <row r="183" spans="1:1" s="7" customFormat="1" x14ac:dyDescent="0.25">
      <c r="A183" s="5"/>
    </row>
    <row r="184" spans="1:1" s="7" customFormat="1" x14ac:dyDescent="0.25">
      <c r="A184" s="5"/>
    </row>
    <row r="185" spans="1:1" s="7" customFormat="1" x14ac:dyDescent="0.25">
      <c r="A185" s="5"/>
    </row>
    <row r="186" spans="1:1" s="7" customFormat="1" x14ac:dyDescent="0.25">
      <c r="A186" s="5"/>
    </row>
    <row r="187" spans="1:1" s="7" customFormat="1" x14ac:dyDescent="0.25">
      <c r="A187" s="5"/>
    </row>
    <row r="188" spans="1:1" s="7" customFormat="1" x14ac:dyDescent="0.25">
      <c r="A188" s="5"/>
    </row>
    <row r="189" spans="1:1" s="7" customFormat="1" x14ac:dyDescent="0.25">
      <c r="A189" s="5"/>
    </row>
    <row r="190" spans="1:1" s="7" customFormat="1" x14ac:dyDescent="0.25">
      <c r="A190" s="5"/>
    </row>
    <row r="191" spans="1:1" s="7" customFormat="1" x14ac:dyDescent="0.25">
      <c r="A191" s="5"/>
    </row>
    <row r="192" spans="1:1" s="7" customFormat="1" x14ac:dyDescent="0.25">
      <c r="A192" s="5"/>
    </row>
    <row r="193" spans="1:1" s="7" customFormat="1" x14ac:dyDescent="0.25">
      <c r="A193" s="5"/>
    </row>
    <row r="194" spans="1:1" s="7" customFormat="1" x14ac:dyDescent="0.25">
      <c r="A194" s="5"/>
    </row>
    <row r="195" spans="1:1" s="7" customFormat="1" x14ac:dyDescent="0.25">
      <c r="A195" s="5"/>
    </row>
    <row r="196" spans="1:1" s="7" customFormat="1" x14ac:dyDescent="0.25">
      <c r="A196" s="5"/>
    </row>
    <row r="197" spans="1:1" s="7" customFormat="1" x14ac:dyDescent="0.25">
      <c r="A197" s="5"/>
    </row>
    <row r="198" spans="1:1" s="7" customFormat="1" x14ac:dyDescent="0.25">
      <c r="A198" s="5"/>
    </row>
    <row r="199" spans="1:1" s="7" customFormat="1" x14ac:dyDescent="0.25">
      <c r="A199" s="5"/>
    </row>
    <row r="200" spans="1:1" s="7" customFormat="1" x14ac:dyDescent="0.25">
      <c r="A200" s="5"/>
    </row>
    <row r="201" spans="1:1" s="7" customFormat="1" x14ac:dyDescent="0.25">
      <c r="A201" s="5"/>
    </row>
    <row r="202" spans="1:1" s="7" customFormat="1" x14ac:dyDescent="0.25">
      <c r="A202" s="5"/>
    </row>
    <row r="203" spans="1:1" s="7" customFormat="1" x14ac:dyDescent="0.25">
      <c r="A203" s="5"/>
    </row>
    <row r="204" spans="1:1" s="7" customFormat="1" x14ac:dyDescent="0.25">
      <c r="A204" s="5"/>
    </row>
    <row r="205" spans="1:1" s="7" customFormat="1" x14ac:dyDescent="0.25">
      <c r="A205" s="5"/>
    </row>
    <row r="206" spans="1:1" s="7" customFormat="1" x14ac:dyDescent="0.25">
      <c r="A206" s="5"/>
    </row>
    <row r="207" spans="1:1" s="7" customFormat="1" x14ac:dyDescent="0.25">
      <c r="A207" s="5"/>
    </row>
    <row r="208" spans="1:1" s="7" customFormat="1" x14ac:dyDescent="0.25">
      <c r="A208" s="5"/>
    </row>
    <row r="209" spans="1:1" s="7" customFormat="1" x14ac:dyDescent="0.25">
      <c r="A209" s="5"/>
    </row>
    <row r="210" spans="1:1" s="7" customFormat="1" x14ac:dyDescent="0.25">
      <c r="A210" s="5"/>
    </row>
    <row r="211" spans="1:1" s="7" customFormat="1" x14ac:dyDescent="0.25">
      <c r="A211" s="5"/>
    </row>
    <row r="212" spans="1:1" s="7" customFormat="1" x14ac:dyDescent="0.25">
      <c r="A212" s="5"/>
    </row>
    <row r="213" spans="1:1" s="7" customFormat="1" x14ac:dyDescent="0.25">
      <c r="A213" s="5"/>
    </row>
    <row r="214" spans="1:1" s="7" customFormat="1" x14ac:dyDescent="0.25">
      <c r="A214" s="5"/>
    </row>
    <row r="215" spans="1:1" s="7" customFormat="1" x14ac:dyDescent="0.25">
      <c r="A215" s="5"/>
    </row>
    <row r="216" spans="1:1" s="7" customFormat="1" x14ac:dyDescent="0.25">
      <c r="A216" s="5"/>
    </row>
    <row r="217" spans="1:1" s="7" customFormat="1" x14ac:dyDescent="0.25">
      <c r="A217" s="5"/>
    </row>
    <row r="218" spans="1:1" s="7" customFormat="1" x14ac:dyDescent="0.25">
      <c r="A218" s="5"/>
    </row>
    <row r="219" spans="1:1" s="7" customFormat="1" x14ac:dyDescent="0.25">
      <c r="A219" s="5"/>
    </row>
    <row r="220" spans="1:1" s="7" customFormat="1" x14ac:dyDescent="0.25">
      <c r="A220" s="5"/>
    </row>
    <row r="221" spans="1:1" s="7" customFormat="1" x14ac:dyDescent="0.25">
      <c r="A221" s="5"/>
    </row>
    <row r="222" spans="1:1" s="7" customFormat="1" x14ac:dyDescent="0.25">
      <c r="A222" s="5"/>
    </row>
    <row r="223" spans="1:1" s="7" customFormat="1" x14ac:dyDescent="0.25">
      <c r="A223" s="5"/>
    </row>
    <row r="224" spans="1:1" s="7" customFormat="1" x14ac:dyDescent="0.25">
      <c r="A224" s="5"/>
    </row>
    <row r="225" spans="1:1" s="7" customFormat="1" x14ac:dyDescent="0.25">
      <c r="A225" s="5"/>
    </row>
    <row r="226" spans="1:1" s="7" customFormat="1" x14ac:dyDescent="0.25">
      <c r="A226" s="5"/>
    </row>
    <row r="227" spans="1:1" s="7" customFormat="1" x14ac:dyDescent="0.25">
      <c r="A227" s="5"/>
    </row>
    <row r="228" spans="1:1" s="7" customFormat="1" x14ac:dyDescent="0.25">
      <c r="A228" s="5"/>
    </row>
    <row r="229" spans="1:1" s="7" customFormat="1" x14ac:dyDescent="0.25">
      <c r="A229" s="5"/>
    </row>
    <row r="230" spans="1:1" s="7" customFormat="1" x14ac:dyDescent="0.25">
      <c r="A230" s="5"/>
    </row>
    <row r="231" spans="1:1" s="7" customFormat="1" x14ac:dyDescent="0.25">
      <c r="A231" s="5"/>
    </row>
    <row r="232" spans="1:1" s="7" customFormat="1" x14ac:dyDescent="0.25">
      <c r="A232" s="5"/>
    </row>
    <row r="233" spans="1:1" s="7" customFormat="1" x14ac:dyDescent="0.25">
      <c r="A233" s="5"/>
    </row>
    <row r="234" spans="1:1" s="7" customFormat="1" x14ac:dyDescent="0.25">
      <c r="A234" s="5"/>
    </row>
    <row r="235" spans="1:1" s="7" customFormat="1" x14ac:dyDescent="0.25">
      <c r="A235" s="5"/>
    </row>
    <row r="236" spans="1:1" s="7" customFormat="1" x14ac:dyDescent="0.25">
      <c r="A236" s="5"/>
    </row>
    <row r="237" spans="1:1" s="7" customFormat="1" x14ac:dyDescent="0.25">
      <c r="A237" s="5"/>
    </row>
    <row r="238" spans="1:1" s="7" customFormat="1" x14ac:dyDescent="0.25">
      <c r="A238" s="5"/>
    </row>
    <row r="239" spans="1:1" s="7" customFormat="1" x14ac:dyDescent="0.25">
      <c r="A239" s="5"/>
    </row>
    <row r="240" spans="1:1" s="7" customFormat="1" x14ac:dyDescent="0.25">
      <c r="A240" s="5"/>
    </row>
    <row r="241" spans="1:1" s="7" customFormat="1" x14ac:dyDescent="0.25">
      <c r="A241" s="5"/>
    </row>
    <row r="242" spans="1:1" s="7" customFormat="1" x14ac:dyDescent="0.25">
      <c r="A242" s="5"/>
    </row>
    <row r="243" spans="1:1" s="7" customFormat="1" x14ac:dyDescent="0.25">
      <c r="A243" s="5"/>
    </row>
    <row r="244" spans="1:1" s="7" customFormat="1" x14ac:dyDescent="0.25">
      <c r="A244" s="5"/>
    </row>
    <row r="245" spans="1:1" s="7" customFormat="1" x14ac:dyDescent="0.25">
      <c r="A245" s="5"/>
    </row>
    <row r="246" spans="1:1" s="7" customFormat="1" x14ac:dyDescent="0.25">
      <c r="A246" s="5"/>
    </row>
    <row r="247" spans="1:1" s="7" customFormat="1" x14ac:dyDescent="0.25">
      <c r="A247" s="5"/>
    </row>
    <row r="248" spans="1:1" s="7" customFormat="1" x14ac:dyDescent="0.25">
      <c r="A248" s="5"/>
    </row>
    <row r="249" spans="1:1" s="7" customFormat="1" x14ac:dyDescent="0.25">
      <c r="A249" s="5"/>
    </row>
    <row r="250" spans="1:1" s="7" customFormat="1" x14ac:dyDescent="0.25">
      <c r="A250" s="5"/>
    </row>
    <row r="251" spans="1:1" s="7" customFormat="1" x14ac:dyDescent="0.25">
      <c r="A251" s="5"/>
    </row>
    <row r="252" spans="1:1" s="7" customFormat="1" x14ac:dyDescent="0.25">
      <c r="A252" s="5"/>
    </row>
    <row r="253" spans="1:1" s="7" customFormat="1" x14ac:dyDescent="0.25">
      <c r="A253" s="5"/>
    </row>
    <row r="254" spans="1:1" s="7" customFormat="1" x14ac:dyDescent="0.25">
      <c r="A254" s="5"/>
    </row>
    <row r="255" spans="1:1" s="7" customFormat="1" x14ac:dyDescent="0.25">
      <c r="A255" s="5"/>
    </row>
    <row r="256" spans="1:1" s="7" customFormat="1" x14ac:dyDescent="0.25">
      <c r="A256" s="5"/>
    </row>
    <row r="257" spans="1:1" s="7" customFormat="1" x14ac:dyDescent="0.25">
      <c r="A257" s="5"/>
    </row>
    <row r="258" spans="1:1" s="7" customFormat="1" x14ac:dyDescent="0.25">
      <c r="A258" s="5"/>
    </row>
    <row r="259" spans="1:1" s="7" customFormat="1" x14ac:dyDescent="0.25">
      <c r="A259" s="5"/>
    </row>
    <row r="260" spans="1:1" s="7" customFormat="1" x14ac:dyDescent="0.25">
      <c r="A260" s="5"/>
    </row>
    <row r="261" spans="1:1" s="7" customFormat="1" x14ac:dyDescent="0.25">
      <c r="A261" s="5"/>
    </row>
    <row r="262" spans="1:1" s="7" customFormat="1" x14ac:dyDescent="0.25">
      <c r="A262" s="5"/>
    </row>
    <row r="263" spans="1:1" s="7" customFormat="1" x14ac:dyDescent="0.25">
      <c r="A263" s="5"/>
    </row>
    <row r="264" spans="1:1" s="7" customFormat="1" x14ac:dyDescent="0.25">
      <c r="A264" s="5"/>
    </row>
    <row r="265" spans="1:1" s="7" customFormat="1" x14ac:dyDescent="0.25">
      <c r="A265" s="5"/>
    </row>
    <row r="266" spans="1:1" s="7" customFormat="1" x14ac:dyDescent="0.25">
      <c r="A266" s="5"/>
    </row>
    <row r="267" spans="1:1" s="7" customFormat="1" x14ac:dyDescent="0.25">
      <c r="A267" s="5"/>
    </row>
    <row r="268" spans="1:1" s="7" customFormat="1" x14ac:dyDescent="0.25">
      <c r="A268" s="5"/>
    </row>
    <row r="269" spans="1:1" s="7" customFormat="1" x14ac:dyDescent="0.25">
      <c r="A269" s="5"/>
    </row>
    <row r="270" spans="1:1" s="7" customFormat="1" x14ac:dyDescent="0.25">
      <c r="A270" s="5"/>
    </row>
    <row r="271" spans="1:1" s="7" customFormat="1" x14ac:dyDescent="0.25">
      <c r="A271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Ricardo Candiotto</cp:lastModifiedBy>
  <dcterms:created xsi:type="dcterms:W3CDTF">2024-12-19T13:13:10Z</dcterms:created>
  <dcterms:modified xsi:type="dcterms:W3CDTF">2026-02-14T20:37:38Z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